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da\"/>
    </mc:Choice>
  </mc:AlternateContent>
  <xr:revisionPtr revIDLastSave="0" documentId="13_ncr:1_{8D13BD2E-DFF1-45C8-8DDA-411991E30B71}" xr6:coauthVersionLast="47" xr6:coauthVersionMax="47" xr10:uidLastSave="{00000000-0000-0000-0000-000000000000}"/>
  <bookViews>
    <workbookView xWindow="14295" yWindow="0" windowWidth="14610" windowHeight="17385" xr2:uid="{22212B57-1D4A-4321-BF85-5A97FF16332C}"/>
  </bookViews>
  <sheets>
    <sheet name="MECODKOfflineData" sheetId="1" r:id="rId1"/>
    <sheet name="MECODKCodebook" sheetId="2" r:id="rId2"/>
  </sheets>
  <definedNames>
    <definedName name="_xlnm._FilterDatabase" localSheetId="0" hidden="1">MECODKOfflineData!$A$1:$P$31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1" l="1"/>
  <c r="E8" i="1"/>
  <c r="F8" i="1"/>
  <c r="H8" i="1"/>
  <c r="J8" i="1"/>
  <c r="K8" i="1"/>
  <c r="C13" i="1"/>
  <c r="E13" i="1"/>
  <c r="F13" i="1"/>
  <c r="H13" i="1"/>
  <c r="J13" i="1"/>
  <c r="K13" i="1"/>
  <c r="C17" i="1"/>
  <c r="E17" i="1"/>
  <c r="F17" i="1"/>
  <c r="H17" i="1"/>
  <c r="J17" i="1"/>
  <c r="K17" i="1"/>
  <c r="C21" i="1"/>
  <c r="E21" i="1"/>
  <c r="F21" i="1"/>
  <c r="H21" i="1"/>
  <c r="J21" i="1"/>
  <c r="K21" i="1"/>
  <c r="C22" i="1"/>
  <c r="E22" i="1"/>
  <c r="F22" i="1"/>
  <c r="H22" i="1"/>
  <c r="J22" i="1"/>
  <c r="K22" i="1"/>
  <c r="C23" i="1"/>
  <c r="E23" i="1"/>
  <c r="F23" i="1"/>
  <c r="H23" i="1"/>
  <c r="J23" i="1"/>
  <c r="K23" i="1"/>
  <c r="C26" i="1"/>
  <c r="E26" i="1"/>
  <c r="F26" i="1"/>
  <c r="H26" i="1"/>
  <c r="J26" i="1"/>
  <c r="K26" i="1"/>
  <c r="H2" i="1"/>
  <c r="H3" i="1"/>
  <c r="H4" i="1"/>
  <c r="H5" i="1"/>
  <c r="H6" i="1"/>
  <c r="H7" i="1"/>
  <c r="H9" i="1"/>
  <c r="H10" i="1"/>
  <c r="H11" i="1"/>
  <c r="H12" i="1"/>
  <c r="H14" i="1"/>
  <c r="H15" i="1"/>
  <c r="H16" i="1"/>
  <c r="H18" i="1"/>
  <c r="H19" i="1"/>
  <c r="H20" i="1"/>
  <c r="H24" i="1"/>
  <c r="H25" i="1"/>
  <c r="H27" i="1"/>
  <c r="H28" i="1"/>
  <c r="H29" i="1"/>
  <c r="H30" i="1"/>
  <c r="H31" i="1"/>
  <c r="C2" i="1"/>
  <c r="C3" i="1"/>
  <c r="C4" i="1"/>
  <c r="C5" i="1"/>
  <c r="C6" i="1"/>
  <c r="C7" i="1"/>
  <c r="C9" i="1"/>
  <c r="C10" i="1"/>
  <c r="C11" i="1"/>
  <c r="C12" i="1"/>
  <c r="C14" i="1"/>
  <c r="C15" i="1"/>
  <c r="C16" i="1"/>
  <c r="C18" i="1"/>
  <c r="C19" i="1"/>
  <c r="C20" i="1"/>
  <c r="C24" i="1"/>
  <c r="C25" i="1"/>
  <c r="C27" i="1"/>
  <c r="C28" i="1"/>
  <c r="C29" i="1"/>
  <c r="C30" i="1"/>
  <c r="C31" i="1"/>
  <c r="K2" i="1"/>
  <c r="K3" i="1"/>
  <c r="K4" i="1"/>
  <c r="K5" i="1"/>
  <c r="K6" i="1"/>
  <c r="K7" i="1"/>
  <c r="K9" i="1"/>
  <c r="K10" i="1"/>
  <c r="K11" i="1"/>
  <c r="K12" i="1"/>
  <c r="K14" i="1"/>
  <c r="K15" i="1"/>
  <c r="K16" i="1"/>
  <c r="K18" i="1"/>
  <c r="K19" i="1"/>
  <c r="K20" i="1"/>
  <c r="K24" i="1"/>
  <c r="K25" i="1"/>
  <c r="K27" i="1"/>
  <c r="K28" i="1"/>
  <c r="K29" i="1"/>
  <c r="K30" i="1"/>
  <c r="K31" i="1"/>
  <c r="J2" i="1"/>
  <c r="J3" i="1"/>
  <c r="J4" i="1"/>
  <c r="J5" i="1"/>
  <c r="J6" i="1"/>
  <c r="J7" i="1"/>
  <c r="J9" i="1"/>
  <c r="J10" i="1"/>
  <c r="J11" i="1"/>
  <c r="J12" i="1"/>
  <c r="J14" i="1"/>
  <c r="J15" i="1"/>
  <c r="J16" i="1"/>
  <c r="J18" i="1"/>
  <c r="J19" i="1"/>
  <c r="J20" i="1"/>
  <c r="J24" i="1"/>
  <c r="J25" i="1"/>
  <c r="J27" i="1"/>
  <c r="J28" i="1"/>
  <c r="J29" i="1"/>
  <c r="J30" i="1"/>
  <c r="J31" i="1"/>
  <c r="F2" i="1"/>
  <c r="F3" i="1"/>
  <c r="F4" i="1"/>
  <c r="F5" i="1"/>
  <c r="F6" i="1"/>
  <c r="F7" i="1"/>
  <c r="F9" i="1"/>
  <c r="F10" i="1"/>
  <c r="F11" i="1"/>
  <c r="F12" i="1"/>
  <c r="F14" i="1"/>
  <c r="F15" i="1"/>
  <c r="F16" i="1"/>
  <c r="F18" i="1"/>
  <c r="F19" i="1"/>
  <c r="F20" i="1"/>
  <c r="F24" i="1"/>
  <c r="F25" i="1"/>
  <c r="F27" i="1"/>
  <c r="F28" i="1"/>
  <c r="F29" i="1"/>
  <c r="F30" i="1"/>
  <c r="F31" i="1"/>
  <c r="E2" i="1"/>
  <c r="E3" i="1"/>
  <c r="E4" i="1"/>
  <c r="E5" i="1"/>
  <c r="E6" i="1"/>
  <c r="E7" i="1"/>
  <c r="E9" i="1"/>
  <c r="E10" i="1"/>
  <c r="E11" i="1"/>
  <c r="E12" i="1"/>
  <c r="E14" i="1"/>
  <c r="E15" i="1"/>
  <c r="E16" i="1"/>
  <c r="E18" i="1"/>
  <c r="E19" i="1"/>
  <c r="E20" i="1"/>
  <c r="E24" i="1"/>
  <c r="E25" i="1"/>
  <c r="E27" i="1"/>
  <c r="E28" i="1"/>
  <c r="E29" i="1"/>
  <c r="E30" i="1"/>
  <c r="E31" i="1"/>
</calcChain>
</file>

<file path=xl/sharedStrings.xml><?xml version="1.0" encoding="utf-8"?>
<sst xmlns="http://schemas.openxmlformats.org/spreadsheetml/2006/main" count="160" uniqueCount="129">
  <si>
    <t>Variable</t>
  </si>
  <si>
    <t>Description</t>
  </si>
  <si>
    <t>Values</t>
  </si>
  <si>
    <t>Participant ID</t>
  </si>
  <si>
    <t>participant_id</t>
  </si>
  <si>
    <t>Main dataset: DKAAxx (DKAA01, DKAA02, etc.). Pilot: DKAAPx (DKAAP1, DKAAP2, … DKAAP8). Pre-pilot: DKAATx (DKAAT1, DKAAT2, … DKAAT9)</t>
  </si>
  <si>
    <t>L1_2_time</t>
  </si>
  <si>
    <t>L1_2_score</t>
  </si>
  <si>
    <t>L1_2_fails</t>
  </si>
  <si>
    <t>L1_3_score</t>
  </si>
  <si>
    <t>L1_3_fails</t>
  </si>
  <si>
    <t>DKAA62</t>
  </si>
  <si>
    <t>9,14,15,21,22,23,25</t>
  </si>
  <si>
    <t>36,39,43</t>
  </si>
  <si>
    <t>DKAA08</t>
  </si>
  <si>
    <t>48,49,50,51,52</t>
  </si>
  <si>
    <t>21,23,25</t>
  </si>
  <si>
    <t>DKAA31</t>
  </si>
  <si>
    <t>27,52</t>
  </si>
  <si>
    <t>9,12,13,14,20,21,23</t>
  </si>
  <si>
    <t>-1</t>
  </si>
  <si>
    <t>Missing value: -1</t>
  </si>
  <si>
    <t>14,21,25</t>
  </si>
  <si>
    <t>DKAA28</t>
  </si>
  <si>
    <t>11,12,14,17,20,21</t>
  </si>
  <si>
    <t>DKAA13</t>
  </si>
  <si>
    <t>32,33,37,42,52</t>
  </si>
  <si>
    <t>4,9,14,21</t>
  </si>
  <si>
    <t>DKAA16</t>
  </si>
  <si>
    <t>43,44,45,46,47,48,49,50,51,52</t>
  </si>
  <si>
    <t>9,12,21</t>
  </si>
  <si>
    <t>DKAA18</t>
  </si>
  <si>
    <t>32,42,51,52</t>
  </si>
  <si>
    <t>8,9,20,21</t>
  </si>
  <si>
    <t>DKAA52</t>
  </si>
  <si>
    <t>32,34,43,52</t>
  </si>
  <si>
    <t>12,15,21,22,23,25</t>
  </si>
  <si>
    <t>DKAA12</t>
  </si>
  <si>
    <t>37,42,48,51</t>
  </si>
  <si>
    <t>6,16,17,21</t>
  </si>
  <si>
    <t>DKAA03</t>
  </si>
  <si>
    <t>47,51</t>
  </si>
  <si>
    <t>12,15,17,21</t>
  </si>
  <si>
    <t>DKAA33</t>
  </si>
  <si>
    <t>32,33,44,45,46,47,48,49,50,51,52</t>
  </si>
  <si>
    <t>DKAA39</t>
  </si>
  <si>
    <t>32,59</t>
  </si>
  <si>
    <t>DKAA59</t>
  </si>
  <si>
    <t>32,36,39,46,49,50,51,52</t>
  </si>
  <si>
    <t>DKAA44</t>
  </si>
  <si>
    <t>32</t>
  </si>
  <si>
    <t>DKAA20</t>
  </si>
  <si>
    <t>32,52</t>
  </si>
  <si>
    <t>DKAA11</t>
  </si>
  <si>
    <t>32,34,39,42,43,45,46,47,48,49,50,51,52</t>
  </si>
  <si>
    <t>DKAA10</t>
  </si>
  <si>
    <t>13,30,32,34,43,48,49,50,51,52</t>
  </si>
  <si>
    <t>DKAA63</t>
  </si>
  <si>
    <t>32,39,43,52</t>
  </si>
  <si>
    <t>DKAA17</t>
  </si>
  <si>
    <t>43,52</t>
  </si>
  <si>
    <t>DKAA40</t>
  </si>
  <si>
    <t>32,37,41,50,51</t>
  </si>
  <si>
    <t>DKAA45</t>
  </si>
  <si>
    <t>32,47</t>
  </si>
  <si>
    <t>DKAA48</t>
  </si>
  <si>
    <t>34,43</t>
  </si>
  <si>
    <t>DKAA14</t>
  </si>
  <si>
    <t>32,39,43,48,51</t>
  </si>
  <si>
    <t>DKAA60</t>
  </si>
  <si>
    <t>32,37,41,51</t>
  </si>
  <si>
    <t>DKAA21</t>
  </si>
  <si>
    <t>32,42,43,44,45,46,47,48,49,50,51,52</t>
  </si>
  <si>
    <t>DKAA71</t>
  </si>
  <si>
    <t>41</t>
  </si>
  <si>
    <t>DKAA42</t>
  </si>
  <si>
    <t>43,48,51,52</t>
  </si>
  <si>
    <t>DKAA22</t>
  </si>
  <si>
    <t>32,48,51,52</t>
  </si>
  <si>
    <t>DKAA69</t>
  </si>
  <si>
    <t>32,42,43,46,48</t>
  </si>
  <si>
    <t>DKAA65</t>
  </si>
  <si>
    <t>43,51,52</t>
  </si>
  <si>
    <t>8,13,15,16,20,21,23,25</t>
  </si>
  <si>
    <t>6</t>
  </si>
  <si>
    <t>8,11,15,25</t>
  </si>
  <si>
    <t>12,21,25</t>
  </si>
  <si>
    <t>1,11,12,20,21,23</t>
  </si>
  <si>
    <t>12,14,20,21</t>
  </si>
  <si>
    <t>9,17,21,23,25</t>
  </si>
  <si>
    <t>21</t>
  </si>
  <si>
    <t>16,20</t>
  </si>
  <si>
    <t>1,6,9,12,15,21,23,25</t>
  </si>
  <si>
    <t>6,8,15,21,25</t>
  </si>
  <si>
    <t>10,12</t>
  </si>
  <si>
    <t>6,8,12,22,25</t>
  </si>
  <si>
    <t>23,25</t>
  </si>
  <si>
    <t>12,14,16,20,21,23,25</t>
  </si>
  <si>
    <t>1,12,19,21,23</t>
  </si>
  <si>
    <t>9,12,14,21,22,25</t>
  </si>
  <si>
    <t>12,21</t>
  </si>
  <si>
    <t>L1_1_word_correct_percent</t>
  </si>
  <si>
    <t>L1_1_word_reading_time</t>
  </si>
  <si>
    <t>L1_1_word_wpm</t>
  </si>
  <si>
    <t>L1_1_word_wpm_correct</t>
  </si>
  <si>
    <t>L1_1_word_correct_n</t>
  </si>
  <si>
    <t>L1_1_nonword_correct_n</t>
  </si>
  <si>
    <t>L1_1_nonword_correct_percent</t>
  </si>
  <si>
    <t>L1_1_nonword_reading_time</t>
  </si>
  <si>
    <t>L1_1_nonword_wpm</t>
  </si>
  <si>
    <t>L1_1_nonword_wpm_correct</t>
  </si>
  <si>
    <t>L1-2 Correct answers (max 52)</t>
  </si>
  <si>
    <t>L1-2 Time in seconds (max 180)</t>
  </si>
  <si>
    <t>L1-2 Incorrect or missing answers, answer numbers as comma-separated text</t>
  </si>
  <si>
    <t>L1-3 Correct answers (max 25)</t>
  </si>
  <si>
    <t>L1-3 (Almen ordforrådsprøve): Danish vocabulary test, finding correct synonym to spoken target word out of three alternatives (3AFC), 25 trials</t>
  </si>
  <si>
    <t>L1-3 Incorrect or missing answers, answer numbers as comma-separated text</t>
  </si>
  <si>
    <t>L1-1 Correctly pronounced words, percentage (max 100)</t>
  </si>
  <si>
    <t>L1-1 Correctly pronounced nonwords, percentage (max 100)</t>
  </si>
  <si>
    <t>L1-1 Correctly pronounced words, number (max 20)</t>
  </si>
  <si>
    <t>L1-1 Correctly pronounced nonwords, number (max 20)</t>
  </si>
  <si>
    <t>L1-1 Total reading time of the word list</t>
  </si>
  <si>
    <t>L1-1 Total reading time of the nonword list</t>
  </si>
  <si>
    <t>L1-1 Correct reading speed of the nonword list, words per minute (L1_1_word_correct_n * 60 / L1_1_word_reading_time)</t>
  </si>
  <si>
    <t>L1-1 Gross reading speed of the nonword list, words per minute (20 * 60 / L1_1_nonword_reading_time)</t>
  </si>
  <si>
    <t>L1-1 Correct reading speed of the word list, words per minute (L1_1_word_correct_n * 60 / L1_1_word_reading_time)</t>
  </si>
  <si>
    <t>L1-1 Gross reading speed of the word list, words per minute (20 * 60 / L1_1_word_reading_time)</t>
  </si>
  <si>
    <t>L1-1 (Elbros ordlister): Danish word reading efficiency test (a-la TOWRE, but normed for highschoolers), 20 words and 20 non-words, self-paced</t>
  </si>
  <si>
    <t>L1-2 (Hvilket ord er rigtigt stavet): Danish spelling test, timed finding correctly spelled variant out of 4 alternatives (4AFC), 52 trials in 3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</si>
</sst>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" fontId="3" fillId="0" borderId="0" xfId="0" applyNumberFormat="1" applyFont="1"/>
    <xf numFmtId="164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973E-34B8-46CE-936D-91D2633CECDF}">
  <dimension ref="A1:P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3" sqref="A23"/>
    </sheetView>
  </sheetViews>
  <sheetFormatPr defaultRowHeight="15" x14ac:dyDescent="0.25"/>
  <cols>
    <col min="1" max="1" width="13.7109375" style="3" customWidth="1"/>
    <col min="2" max="2" width="19.7109375" style="5" customWidth="1"/>
    <col min="3" max="3" width="25.7109375" style="5" customWidth="1"/>
    <col min="4" max="4" width="23.7109375" style="5" customWidth="1"/>
    <col min="5" max="5" width="15.7109375" style="8" customWidth="1"/>
    <col min="6" max="6" width="22.7109375" style="8" customWidth="1"/>
    <col min="7" max="7" width="23.7109375" style="5" customWidth="1"/>
    <col min="8" max="8" width="28.7109375" style="5" customWidth="1"/>
    <col min="9" max="9" width="26.7109375" style="5" customWidth="1"/>
    <col min="10" max="10" width="19.7109375" style="8" customWidth="1"/>
    <col min="11" max="11" width="26.7109375" style="8" customWidth="1"/>
    <col min="12" max="12" width="11.5703125" style="5" customWidth="1"/>
    <col min="13" max="13" width="11.42578125" style="5" customWidth="1"/>
    <col min="14" max="14" width="10.140625" style="3" customWidth="1"/>
    <col min="15" max="15" width="10.5703125" style="5" customWidth="1"/>
    <col min="16" max="16" width="10.28515625" style="3" customWidth="1"/>
  </cols>
  <sheetData>
    <row r="1" spans="1:16" s="1" customFormat="1" x14ac:dyDescent="0.25">
      <c r="A1" s="2" t="s">
        <v>4</v>
      </c>
      <c r="B1" s="6" t="s">
        <v>105</v>
      </c>
      <c r="C1" s="6" t="s">
        <v>101</v>
      </c>
      <c r="D1" s="6" t="s">
        <v>102</v>
      </c>
      <c r="E1" s="7" t="s">
        <v>103</v>
      </c>
      <c r="F1" s="7" t="s">
        <v>104</v>
      </c>
      <c r="G1" s="6" t="s">
        <v>106</v>
      </c>
      <c r="H1" s="6" t="s">
        <v>107</v>
      </c>
      <c r="I1" s="6" t="s">
        <v>108</v>
      </c>
      <c r="J1" s="7" t="s">
        <v>109</v>
      </c>
      <c r="K1" s="7" t="s">
        <v>110</v>
      </c>
      <c r="L1" s="4" t="s">
        <v>7</v>
      </c>
      <c r="M1" s="4" t="s">
        <v>6</v>
      </c>
      <c r="N1" s="2" t="s">
        <v>8</v>
      </c>
      <c r="O1" s="4" t="s">
        <v>9</v>
      </c>
      <c r="P1" s="2" t="s">
        <v>10</v>
      </c>
    </row>
    <row r="2" spans="1:16" x14ac:dyDescent="0.25">
      <c r="A2" s="3" t="s">
        <v>40</v>
      </c>
      <c r="B2" s="5">
        <v>20</v>
      </c>
      <c r="C2" s="5">
        <f t="shared" ref="C2:C31" si="0">(B2/20)*100</f>
        <v>100</v>
      </c>
      <c r="D2" s="5">
        <v>23</v>
      </c>
      <c r="E2" s="8">
        <f t="shared" ref="E2:E31" si="1">20*60/D2</f>
        <v>52.173913043478258</v>
      </c>
      <c r="F2" s="8">
        <f t="shared" ref="F2:F31" si="2">B2*60/D2</f>
        <v>52.173913043478258</v>
      </c>
      <c r="G2" s="5">
        <v>18</v>
      </c>
      <c r="H2" s="5">
        <f t="shared" ref="H2:H31" si="3">(G2/20)*100</f>
        <v>90</v>
      </c>
      <c r="I2" s="5">
        <v>26</v>
      </c>
      <c r="J2" s="8">
        <f t="shared" ref="J2:J31" si="4">20*60/I2</f>
        <v>46.153846153846153</v>
      </c>
      <c r="K2" s="8">
        <f t="shared" ref="K2:K31" si="5">G2*60/I2</f>
        <v>41.53846153846154</v>
      </c>
      <c r="L2" s="5">
        <v>50</v>
      </c>
      <c r="M2" s="5">
        <v>166</v>
      </c>
      <c r="N2" s="3" t="s">
        <v>41</v>
      </c>
      <c r="O2" s="5">
        <v>21</v>
      </c>
      <c r="P2" s="3" t="s">
        <v>42</v>
      </c>
    </row>
    <row r="3" spans="1:16" x14ac:dyDescent="0.25">
      <c r="A3" s="3" t="s">
        <v>14</v>
      </c>
      <c r="B3" s="5">
        <v>20</v>
      </c>
      <c r="C3" s="5">
        <f t="shared" si="0"/>
        <v>100</v>
      </c>
      <c r="D3" s="5">
        <v>17</v>
      </c>
      <c r="E3" s="8">
        <f t="shared" si="1"/>
        <v>70.588235294117652</v>
      </c>
      <c r="F3" s="8">
        <f t="shared" si="2"/>
        <v>70.588235294117652</v>
      </c>
      <c r="G3" s="5">
        <v>20</v>
      </c>
      <c r="H3" s="5">
        <f t="shared" si="3"/>
        <v>100</v>
      </c>
      <c r="I3" s="5">
        <v>24</v>
      </c>
      <c r="J3" s="8">
        <f t="shared" si="4"/>
        <v>50</v>
      </c>
      <c r="K3" s="8">
        <f t="shared" si="5"/>
        <v>50</v>
      </c>
      <c r="L3" s="5">
        <v>47</v>
      </c>
      <c r="M3" s="5">
        <v>199</v>
      </c>
      <c r="N3" s="3" t="s">
        <v>15</v>
      </c>
      <c r="O3" s="5">
        <v>22</v>
      </c>
      <c r="P3" s="3" t="s">
        <v>16</v>
      </c>
    </row>
    <row r="4" spans="1:16" x14ac:dyDescent="0.25">
      <c r="A4" s="3" t="s">
        <v>55</v>
      </c>
      <c r="B4" s="5">
        <v>19</v>
      </c>
      <c r="C4" s="5">
        <f t="shared" si="0"/>
        <v>95</v>
      </c>
      <c r="D4" s="5">
        <v>11</v>
      </c>
      <c r="E4" s="8">
        <f t="shared" si="1"/>
        <v>109.09090909090909</v>
      </c>
      <c r="F4" s="8">
        <f t="shared" si="2"/>
        <v>103.63636363636364</v>
      </c>
      <c r="G4" s="5">
        <v>14</v>
      </c>
      <c r="H4" s="5">
        <f t="shared" si="3"/>
        <v>70</v>
      </c>
      <c r="I4" s="5">
        <v>15</v>
      </c>
      <c r="J4" s="8">
        <f t="shared" si="4"/>
        <v>80</v>
      </c>
      <c r="K4" s="8">
        <f t="shared" si="5"/>
        <v>56</v>
      </c>
      <c r="L4" s="5">
        <v>42</v>
      </c>
      <c r="M4" s="5">
        <v>180</v>
      </c>
      <c r="N4" s="3" t="s">
        <v>56</v>
      </c>
      <c r="O4" s="5">
        <v>17</v>
      </c>
      <c r="P4" s="3" t="s">
        <v>83</v>
      </c>
    </row>
    <row r="5" spans="1:16" x14ac:dyDescent="0.25">
      <c r="A5" s="3" t="s">
        <v>53</v>
      </c>
      <c r="B5" s="5">
        <v>20</v>
      </c>
      <c r="C5" s="5">
        <f t="shared" si="0"/>
        <v>100</v>
      </c>
      <c r="D5" s="5">
        <v>19</v>
      </c>
      <c r="E5" s="8">
        <f t="shared" si="1"/>
        <v>63.157894736842103</v>
      </c>
      <c r="F5" s="8">
        <f t="shared" si="2"/>
        <v>63.157894736842103</v>
      </c>
      <c r="G5" s="5">
        <v>20</v>
      </c>
      <c r="H5" s="5">
        <f t="shared" si="3"/>
        <v>100</v>
      </c>
      <c r="I5" s="5">
        <v>24</v>
      </c>
      <c r="J5" s="8">
        <f t="shared" si="4"/>
        <v>50</v>
      </c>
      <c r="K5" s="8">
        <f t="shared" si="5"/>
        <v>50</v>
      </c>
      <c r="L5" s="5">
        <v>39</v>
      </c>
      <c r="M5" s="5">
        <v>180</v>
      </c>
      <c r="N5" s="3" t="s">
        <v>54</v>
      </c>
      <c r="O5" s="5">
        <v>24</v>
      </c>
      <c r="P5" s="3" t="s">
        <v>84</v>
      </c>
    </row>
    <row r="6" spans="1:16" x14ac:dyDescent="0.25">
      <c r="A6" s="3" t="s">
        <v>37</v>
      </c>
      <c r="B6" s="5">
        <v>20</v>
      </c>
      <c r="C6" s="5">
        <f t="shared" si="0"/>
        <v>100</v>
      </c>
      <c r="D6" s="5">
        <v>15</v>
      </c>
      <c r="E6" s="8">
        <f t="shared" si="1"/>
        <v>80</v>
      </c>
      <c r="F6" s="8">
        <f t="shared" si="2"/>
        <v>80</v>
      </c>
      <c r="G6" s="5">
        <v>18</v>
      </c>
      <c r="H6" s="5">
        <f t="shared" si="3"/>
        <v>90</v>
      </c>
      <c r="I6" s="5">
        <v>19</v>
      </c>
      <c r="J6" s="8">
        <f t="shared" si="4"/>
        <v>63.157894736842103</v>
      </c>
      <c r="K6" s="8">
        <f t="shared" si="5"/>
        <v>56.842105263157897</v>
      </c>
      <c r="L6" s="5">
        <v>48</v>
      </c>
      <c r="M6" s="5">
        <v>163</v>
      </c>
      <c r="N6" s="3" t="s">
        <v>38</v>
      </c>
      <c r="O6" s="5">
        <v>21</v>
      </c>
      <c r="P6" s="3" t="s">
        <v>39</v>
      </c>
    </row>
    <row r="7" spans="1:16" x14ac:dyDescent="0.25">
      <c r="A7" s="3" t="s">
        <v>25</v>
      </c>
      <c r="B7" s="5">
        <v>20</v>
      </c>
      <c r="C7" s="5">
        <f t="shared" si="0"/>
        <v>100</v>
      </c>
      <c r="D7" s="5">
        <v>20</v>
      </c>
      <c r="E7" s="8">
        <f t="shared" si="1"/>
        <v>60</v>
      </c>
      <c r="F7" s="8">
        <f t="shared" si="2"/>
        <v>60</v>
      </c>
      <c r="G7" s="5">
        <v>20</v>
      </c>
      <c r="H7" s="5">
        <f t="shared" si="3"/>
        <v>100</v>
      </c>
      <c r="I7" s="5">
        <v>22</v>
      </c>
      <c r="J7" s="8">
        <f t="shared" si="4"/>
        <v>54.545454545454547</v>
      </c>
      <c r="K7" s="8">
        <f t="shared" si="5"/>
        <v>54.545454545454547</v>
      </c>
      <c r="L7" s="5">
        <v>47</v>
      </c>
      <c r="M7" s="5">
        <v>180</v>
      </c>
      <c r="N7" s="3" t="s">
        <v>26</v>
      </c>
      <c r="O7" s="5">
        <v>21</v>
      </c>
      <c r="P7" s="3" t="s">
        <v>27</v>
      </c>
    </row>
    <row r="8" spans="1:16" x14ac:dyDescent="0.25">
      <c r="A8" s="3" t="s">
        <v>67</v>
      </c>
      <c r="B8" s="5">
        <v>20</v>
      </c>
      <c r="C8" s="5">
        <f t="shared" si="0"/>
        <v>100</v>
      </c>
      <c r="D8" s="5">
        <v>20</v>
      </c>
      <c r="E8" s="8">
        <f t="shared" si="1"/>
        <v>60</v>
      </c>
      <c r="F8" s="8">
        <f t="shared" si="2"/>
        <v>60</v>
      </c>
      <c r="G8" s="5">
        <v>19</v>
      </c>
      <c r="H8" s="5">
        <f t="shared" si="3"/>
        <v>95</v>
      </c>
      <c r="I8" s="5">
        <v>24</v>
      </c>
      <c r="J8" s="8">
        <f t="shared" si="4"/>
        <v>50</v>
      </c>
      <c r="K8" s="8">
        <f t="shared" si="5"/>
        <v>47.5</v>
      </c>
      <c r="L8" s="5">
        <v>47</v>
      </c>
      <c r="M8" s="5">
        <v>180</v>
      </c>
      <c r="N8" s="3" t="s">
        <v>68</v>
      </c>
      <c r="O8" s="5">
        <v>21</v>
      </c>
      <c r="P8" s="3" t="s">
        <v>85</v>
      </c>
    </row>
    <row r="9" spans="1:16" x14ac:dyDescent="0.25">
      <c r="A9" s="3" t="s">
        <v>28</v>
      </c>
      <c r="B9" s="5">
        <v>20</v>
      </c>
      <c r="C9" s="5">
        <f t="shared" si="0"/>
        <v>100</v>
      </c>
      <c r="D9" s="5">
        <v>19</v>
      </c>
      <c r="E9" s="8">
        <f t="shared" si="1"/>
        <v>63.157894736842103</v>
      </c>
      <c r="F9" s="8">
        <f t="shared" si="2"/>
        <v>63.157894736842103</v>
      </c>
      <c r="G9" s="5">
        <v>20</v>
      </c>
      <c r="H9" s="5">
        <f t="shared" si="3"/>
        <v>100</v>
      </c>
      <c r="I9" s="5">
        <v>22</v>
      </c>
      <c r="J9" s="8">
        <f t="shared" si="4"/>
        <v>54.545454545454547</v>
      </c>
      <c r="K9" s="8">
        <f t="shared" si="5"/>
        <v>54.545454545454547</v>
      </c>
      <c r="L9" s="5">
        <v>42</v>
      </c>
      <c r="M9" s="5">
        <v>180</v>
      </c>
      <c r="N9" s="3" t="s">
        <v>29</v>
      </c>
      <c r="O9" s="5">
        <v>22</v>
      </c>
      <c r="P9" s="3" t="s">
        <v>30</v>
      </c>
    </row>
    <row r="10" spans="1:16" x14ac:dyDescent="0.25">
      <c r="A10" s="3" t="s">
        <v>59</v>
      </c>
      <c r="B10" s="5">
        <v>20</v>
      </c>
      <c r="C10" s="5">
        <f t="shared" si="0"/>
        <v>100</v>
      </c>
      <c r="D10" s="5">
        <v>14</v>
      </c>
      <c r="E10" s="8">
        <f t="shared" si="1"/>
        <v>85.714285714285708</v>
      </c>
      <c r="F10" s="8">
        <f t="shared" si="2"/>
        <v>85.714285714285708</v>
      </c>
      <c r="G10" s="5">
        <v>19</v>
      </c>
      <c r="H10" s="5">
        <f t="shared" si="3"/>
        <v>95</v>
      </c>
      <c r="I10" s="5">
        <v>22</v>
      </c>
      <c r="J10" s="8">
        <f t="shared" si="4"/>
        <v>54.545454545454547</v>
      </c>
      <c r="K10" s="8">
        <f t="shared" si="5"/>
        <v>51.81818181818182</v>
      </c>
      <c r="L10" s="5">
        <v>50</v>
      </c>
      <c r="M10" s="5">
        <v>150</v>
      </c>
      <c r="N10" s="3" t="s">
        <v>60</v>
      </c>
      <c r="O10" s="5">
        <v>22</v>
      </c>
      <c r="P10" s="3" t="s">
        <v>86</v>
      </c>
    </row>
    <row r="11" spans="1:16" x14ac:dyDescent="0.25">
      <c r="A11" s="3" t="s">
        <v>31</v>
      </c>
      <c r="B11" s="5">
        <v>20</v>
      </c>
      <c r="C11" s="5">
        <f t="shared" si="0"/>
        <v>100</v>
      </c>
      <c r="D11" s="5">
        <v>18</v>
      </c>
      <c r="E11" s="8">
        <f t="shared" si="1"/>
        <v>66.666666666666671</v>
      </c>
      <c r="F11" s="8">
        <f t="shared" si="2"/>
        <v>66.666666666666671</v>
      </c>
      <c r="G11" s="5">
        <v>20</v>
      </c>
      <c r="H11" s="5">
        <f t="shared" si="3"/>
        <v>100</v>
      </c>
      <c r="I11" s="5">
        <v>18</v>
      </c>
      <c r="J11" s="8">
        <f t="shared" si="4"/>
        <v>66.666666666666671</v>
      </c>
      <c r="K11" s="8">
        <f t="shared" si="5"/>
        <v>66.666666666666671</v>
      </c>
      <c r="L11" s="5">
        <v>48</v>
      </c>
      <c r="M11" s="5">
        <v>180</v>
      </c>
      <c r="N11" s="3" t="s">
        <v>32</v>
      </c>
      <c r="O11" s="5">
        <v>21</v>
      </c>
      <c r="P11" s="3" t="s">
        <v>33</v>
      </c>
    </row>
    <row r="12" spans="1:16" x14ac:dyDescent="0.25">
      <c r="A12" s="3" t="s">
        <v>51</v>
      </c>
      <c r="B12" s="5">
        <v>20</v>
      </c>
      <c r="C12" s="5">
        <f t="shared" si="0"/>
        <v>100</v>
      </c>
      <c r="D12" s="5">
        <v>17</v>
      </c>
      <c r="E12" s="8">
        <f t="shared" si="1"/>
        <v>70.588235294117652</v>
      </c>
      <c r="F12" s="8">
        <f t="shared" si="2"/>
        <v>70.588235294117652</v>
      </c>
      <c r="G12" s="5">
        <v>20</v>
      </c>
      <c r="H12" s="5">
        <f t="shared" si="3"/>
        <v>100</v>
      </c>
      <c r="I12" s="5">
        <v>19</v>
      </c>
      <c r="J12" s="8">
        <f t="shared" si="4"/>
        <v>63.157894736842103</v>
      </c>
      <c r="K12" s="8">
        <f t="shared" si="5"/>
        <v>63.157894736842103</v>
      </c>
      <c r="L12" s="5">
        <v>50</v>
      </c>
      <c r="M12" s="5">
        <v>144</v>
      </c>
      <c r="N12" s="3" t="s">
        <v>52</v>
      </c>
      <c r="O12" s="5">
        <v>19</v>
      </c>
      <c r="P12" s="3" t="s">
        <v>87</v>
      </c>
    </row>
    <row r="13" spans="1:16" x14ac:dyDescent="0.25">
      <c r="A13" s="3" t="s">
        <v>71</v>
      </c>
      <c r="B13" s="5">
        <v>20</v>
      </c>
      <c r="C13" s="5">
        <f t="shared" si="0"/>
        <v>100</v>
      </c>
      <c r="D13" s="5">
        <v>25</v>
      </c>
      <c r="E13" s="8">
        <f t="shared" si="1"/>
        <v>48</v>
      </c>
      <c r="F13" s="8">
        <f t="shared" si="2"/>
        <v>48</v>
      </c>
      <c r="G13" s="5">
        <v>20</v>
      </c>
      <c r="H13" s="5">
        <f t="shared" si="3"/>
        <v>100</v>
      </c>
      <c r="I13" s="5">
        <v>25</v>
      </c>
      <c r="J13" s="8">
        <f t="shared" si="4"/>
        <v>48</v>
      </c>
      <c r="K13" s="8">
        <f t="shared" si="5"/>
        <v>48</v>
      </c>
      <c r="L13" s="5">
        <v>40</v>
      </c>
      <c r="M13" s="5">
        <v>180</v>
      </c>
      <c r="N13" s="3" t="s">
        <v>72</v>
      </c>
      <c r="O13" s="5">
        <v>22</v>
      </c>
      <c r="P13" s="3" t="s">
        <v>22</v>
      </c>
    </row>
    <row r="14" spans="1:16" x14ac:dyDescent="0.25">
      <c r="A14" s="3" t="s">
        <v>77</v>
      </c>
      <c r="B14" s="5">
        <v>19</v>
      </c>
      <c r="C14" s="5">
        <f t="shared" si="0"/>
        <v>95</v>
      </c>
      <c r="D14" s="5">
        <v>21</v>
      </c>
      <c r="E14" s="8">
        <f t="shared" si="1"/>
        <v>57.142857142857146</v>
      </c>
      <c r="F14" s="8">
        <f t="shared" si="2"/>
        <v>54.285714285714285</v>
      </c>
      <c r="G14" s="5">
        <v>18</v>
      </c>
      <c r="H14" s="5">
        <f t="shared" si="3"/>
        <v>90</v>
      </c>
      <c r="I14" s="5">
        <v>23</v>
      </c>
      <c r="J14" s="8">
        <f t="shared" si="4"/>
        <v>52.173913043478258</v>
      </c>
      <c r="K14" s="8">
        <f t="shared" si="5"/>
        <v>46.956521739130437</v>
      </c>
      <c r="L14" s="5">
        <v>48</v>
      </c>
      <c r="M14" s="5">
        <v>180</v>
      </c>
      <c r="N14" s="3" t="s">
        <v>78</v>
      </c>
      <c r="O14" s="5">
        <v>21</v>
      </c>
      <c r="P14" s="3" t="s">
        <v>88</v>
      </c>
    </row>
    <row r="15" spans="1:16" x14ac:dyDescent="0.25">
      <c r="A15" s="3" t="s">
        <v>23</v>
      </c>
      <c r="B15" s="5">
        <v>20</v>
      </c>
      <c r="C15" s="5">
        <f t="shared" si="0"/>
        <v>100</v>
      </c>
      <c r="D15" s="5">
        <v>25</v>
      </c>
      <c r="E15" s="8">
        <f t="shared" si="1"/>
        <v>48</v>
      </c>
      <c r="F15" s="8">
        <f t="shared" si="2"/>
        <v>48</v>
      </c>
      <c r="G15" s="5">
        <v>19</v>
      </c>
      <c r="H15" s="5">
        <f t="shared" si="3"/>
        <v>95</v>
      </c>
      <c r="I15" s="5">
        <v>40</v>
      </c>
      <c r="J15" s="8">
        <f t="shared" si="4"/>
        <v>30</v>
      </c>
      <c r="K15" s="8">
        <f t="shared" si="5"/>
        <v>28.5</v>
      </c>
      <c r="L15" s="5">
        <v>47</v>
      </c>
      <c r="M15" s="5">
        <v>180</v>
      </c>
      <c r="N15" s="3" t="s">
        <v>15</v>
      </c>
      <c r="O15" s="5">
        <v>19</v>
      </c>
      <c r="P15" s="3" t="s">
        <v>24</v>
      </c>
    </row>
    <row r="16" spans="1:16" x14ac:dyDescent="0.25">
      <c r="A16" s="3" t="s">
        <v>17</v>
      </c>
      <c r="B16" s="5">
        <v>20</v>
      </c>
      <c r="C16" s="5">
        <f t="shared" si="0"/>
        <v>100</v>
      </c>
      <c r="D16" s="5">
        <v>26</v>
      </c>
      <c r="E16" s="8">
        <f t="shared" si="1"/>
        <v>46.153846153846153</v>
      </c>
      <c r="F16" s="8">
        <f t="shared" si="2"/>
        <v>46.153846153846153</v>
      </c>
      <c r="G16" s="5">
        <v>19</v>
      </c>
      <c r="H16" s="5">
        <f t="shared" si="3"/>
        <v>95</v>
      </c>
      <c r="I16" s="5">
        <v>28</v>
      </c>
      <c r="J16" s="8">
        <f t="shared" si="4"/>
        <v>42.857142857142854</v>
      </c>
      <c r="K16" s="8">
        <f t="shared" si="5"/>
        <v>40.714285714285715</v>
      </c>
      <c r="L16" s="5">
        <v>50</v>
      </c>
      <c r="M16" s="5">
        <v>180</v>
      </c>
      <c r="N16" s="3" t="s">
        <v>18</v>
      </c>
      <c r="O16" s="5">
        <v>18</v>
      </c>
      <c r="P16" s="3" t="s">
        <v>19</v>
      </c>
    </row>
    <row r="17" spans="1:16" x14ac:dyDescent="0.25">
      <c r="A17" s="3" t="s">
        <v>43</v>
      </c>
      <c r="B17" s="5">
        <v>20</v>
      </c>
      <c r="C17" s="5">
        <f t="shared" si="0"/>
        <v>100</v>
      </c>
      <c r="D17" s="5">
        <v>17</v>
      </c>
      <c r="E17" s="8">
        <f t="shared" si="1"/>
        <v>70.588235294117652</v>
      </c>
      <c r="F17" s="8">
        <f t="shared" si="2"/>
        <v>70.588235294117652</v>
      </c>
      <c r="G17" s="5">
        <v>19</v>
      </c>
      <c r="H17" s="5">
        <f t="shared" si="3"/>
        <v>95</v>
      </c>
      <c r="I17" s="5">
        <v>20</v>
      </c>
      <c r="J17" s="8">
        <f t="shared" si="4"/>
        <v>60</v>
      </c>
      <c r="K17" s="8">
        <f t="shared" si="5"/>
        <v>57</v>
      </c>
      <c r="L17" s="5">
        <v>41</v>
      </c>
      <c r="M17" s="5">
        <v>180</v>
      </c>
      <c r="N17" s="3" t="s">
        <v>44</v>
      </c>
      <c r="O17" s="5">
        <v>20</v>
      </c>
      <c r="P17" s="3" t="s">
        <v>89</v>
      </c>
    </row>
    <row r="18" spans="1:16" x14ac:dyDescent="0.25">
      <c r="A18" s="3" t="s">
        <v>45</v>
      </c>
      <c r="B18" s="5">
        <v>20</v>
      </c>
      <c r="C18" s="5">
        <f t="shared" si="0"/>
        <v>100</v>
      </c>
      <c r="D18" s="5">
        <v>16</v>
      </c>
      <c r="E18" s="8">
        <f t="shared" si="1"/>
        <v>75</v>
      </c>
      <c r="F18" s="8">
        <f t="shared" si="2"/>
        <v>75</v>
      </c>
      <c r="G18" s="5">
        <v>18</v>
      </c>
      <c r="H18" s="5">
        <f t="shared" si="3"/>
        <v>90</v>
      </c>
      <c r="I18" s="5">
        <v>19</v>
      </c>
      <c r="J18" s="8">
        <f t="shared" si="4"/>
        <v>63.157894736842103</v>
      </c>
      <c r="K18" s="8">
        <f t="shared" si="5"/>
        <v>56.842105263157897</v>
      </c>
      <c r="L18" s="5">
        <v>50</v>
      </c>
      <c r="M18" s="5">
        <v>144</v>
      </c>
      <c r="N18" s="3" t="s">
        <v>46</v>
      </c>
      <c r="O18" s="5">
        <v>24</v>
      </c>
      <c r="P18" s="3" t="s">
        <v>90</v>
      </c>
    </row>
    <row r="19" spans="1:16" x14ac:dyDescent="0.25">
      <c r="A19" s="3" t="s">
        <v>61</v>
      </c>
      <c r="B19" s="5">
        <v>20</v>
      </c>
      <c r="C19" s="5">
        <f t="shared" si="0"/>
        <v>100</v>
      </c>
      <c r="D19" s="5">
        <v>21</v>
      </c>
      <c r="E19" s="8">
        <f t="shared" si="1"/>
        <v>57.142857142857146</v>
      </c>
      <c r="F19" s="8">
        <f t="shared" si="2"/>
        <v>57.142857142857146</v>
      </c>
      <c r="G19" s="5">
        <v>19</v>
      </c>
      <c r="H19" s="5">
        <f t="shared" si="3"/>
        <v>95</v>
      </c>
      <c r="I19" s="5">
        <v>27</v>
      </c>
      <c r="J19" s="8">
        <f t="shared" si="4"/>
        <v>44.444444444444443</v>
      </c>
      <c r="K19" s="8">
        <f t="shared" si="5"/>
        <v>42.222222222222221</v>
      </c>
      <c r="L19" s="5">
        <v>47</v>
      </c>
      <c r="M19" s="5">
        <v>180</v>
      </c>
      <c r="N19" s="3" t="s">
        <v>62</v>
      </c>
      <c r="O19" s="5">
        <v>23</v>
      </c>
      <c r="P19" s="3" t="s">
        <v>91</v>
      </c>
    </row>
    <row r="20" spans="1:16" x14ac:dyDescent="0.25">
      <c r="A20" s="3" t="s">
        <v>75</v>
      </c>
      <c r="B20" s="5">
        <v>20</v>
      </c>
      <c r="C20" s="5">
        <f t="shared" si="0"/>
        <v>100</v>
      </c>
      <c r="D20" s="5">
        <v>14</v>
      </c>
      <c r="E20" s="8">
        <f t="shared" si="1"/>
        <v>85.714285714285708</v>
      </c>
      <c r="F20" s="8">
        <f t="shared" si="2"/>
        <v>85.714285714285708</v>
      </c>
      <c r="G20" s="5">
        <v>18</v>
      </c>
      <c r="H20" s="5">
        <f t="shared" si="3"/>
        <v>90</v>
      </c>
      <c r="I20" s="5">
        <v>16</v>
      </c>
      <c r="J20" s="8">
        <f t="shared" si="4"/>
        <v>75</v>
      </c>
      <c r="K20" s="8">
        <f t="shared" si="5"/>
        <v>67.5</v>
      </c>
      <c r="L20" s="5">
        <v>48</v>
      </c>
      <c r="M20" s="5">
        <v>132</v>
      </c>
      <c r="N20" s="5" t="s">
        <v>76</v>
      </c>
      <c r="O20" s="5">
        <v>17</v>
      </c>
      <c r="P20" s="3" t="s">
        <v>92</v>
      </c>
    </row>
    <row r="21" spans="1:16" x14ac:dyDescent="0.25">
      <c r="A21" s="3" t="s">
        <v>49</v>
      </c>
      <c r="B21" s="5">
        <v>20</v>
      </c>
      <c r="C21" s="5">
        <f t="shared" si="0"/>
        <v>100</v>
      </c>
      <c r="D21" s="5">
        <v>13</v>
      </c>
      <c r="E21" s="8">
        <f t="shared" si="1"/>
        <v>92.307692307692307</v>
      </c>
      <c r="F21" s="8">
        <f t="shared" si="2"/>
        <v>92.307692307692307</v>
      </c>
      <c r="G21" s="5">
        <v>19</v>
      </c>
      <c r="H21" s="5">
        <f t="shared" si="3"/>
        <v>95</v>
      </c>
      <c r="I21" s="5">
        <v>17</v>
      </c>
      <c r="J21" s="8">
        <f t="shared" si="4"/>
        <v>70.588235294117652</v>
      </c>
      <c r="K21" s="8">
        <f t="shared" si="5"/>
        <v>67.058823529411768</v>
      </c>
      <c r="L21" s="5">
        <v>51</v>
      </c>
      <c r="M21" s="5">
        <v>120</v>
      </c>
      <c r="N21" s="3" t="s">
        <v>50</v>
      </c>
      <c r="O21" s="5">
        <v>25</v>
      </c>
      <c r="P21" s="3" t="s">
        <v>20</v>
      </c>
    </row>
    <row r="22" spans="1:16" x14ac:dyDescent="0.25">
      <c r="A22" s="3" t="s">
        <v>63</v>
      </c>
      <c r="B22" s="5">
        <v>20</v>
      </c>
      <c r="C22" s="5">
        <f t="shared" si="0"/>
        <v>100</v>
      </c>
      <c r="D22" s="5">
        <v>20</v>
      </c>
      <c r="E22" s="8">
        <f t="shared" si="1"/>
        <v>60</v>
      </c>
      <c r="F22" s="8">
        <f t="shared" si="2"/>
        <v>60</v>
      </c>
      <c r="G22" s="5">
        <v>20</v>
      </c>
      <c r="H22" s="5">
        <f t="shared" si="3"/>
        <v>100</v>
      </c>
      <c r="I22" s="5">
        <v>17</v>
      </c>
      <c r="J22" s="8">
        <f t="shared" si="4"/>
        <v>70.588235294117652</v>
      </c>
      <c r="K22" s="8">
        <f t="shared" si="5"/>
        <v>70.588235294117652</v>
      </c>
      <c r="L22" s="5">
        <v>50</v>
      </c>
      <c r="M22" s="5">
        <v>180</v>
      </c>
      <c r="N22" s="3" t="s">
        <v>64</v>
      </c>
      <c r="O22" s="5">
        <v>20</v>
      </c>
      <c r="P22" s="3" t="s">
        <v>93</v>
      </c>
    </row>
    <row r="23" spans="1:16" x14ac:dyDescent="0.25">
      <c r="A23" s="3" t="s">
        <v>65</v>
      </c>
      <c r="B23" s="5">
        <v>20</v>
      </c>
      <c r="C23" s="5">
        <f t="shared" si="0"/>
        <v>100</v>
      </c>
      <c r="D23" s="5">
        <v>21</v>
      </c>
      <c r="E23" s="8">
        <f t="shared" si="1"/>
        <v>57.142857142857146</v>
      </c>
      <c r="F23" s="8">
        <f t="shared" si="2"/>
        <v>57.142857142857146</v>
      </c>
      <c r="G23" s="5">
        <v>19</v>
      </c>
      <c r="H23" s="5">
        <f t="shared" si="3"/>
        <v>95</v>
      </c>
      <c r="I23" s="5">
        <v>21</v>
      </c>
      <c r="J23" s="8">
        <f t="shared" si="4"/>
        <v>57.142857142857146</v>
      </c>
      <c r="K23" s="8">
        <f t="shared" si="5"/>
        <v>54.285714285714285</v>
      </c>
      <c r="L23" s="5">
        <v>50</v>
      </c>
      <c r="M23" s="5">
        <v>167</v>
      </c>
      <c r="N23" s="3" t="s">
        <v>66</v>
      </c>
      <c r="O23" s="5">
        <v>23</v>
      </c>
      <c r="P23" s="3" t="s">
        <v>94</v>
      </c>
    </row>
    <row r="24" spans="1:16" x14ac:dyDescent="0.25">
      <c r="A24" s="3" t="s">
        <v>34</v>
      </c>
      <c r="B24" s="5">
        <v>19</v>
      </c>
      <c r="C24" s="5">
        <f t="shared" si="0"/>
        <v>95</v>
      </c>
      <c r="D24" s="5">
        <v>14</v>
      </c>
      <c r="E24" s="8">
        <f t="shared" si="1"/>
        <v>85.714285714285708</v>
      </c>
      <c r="F24" s="8">
        <f t="shared" si="2"/>
        <v>81.428571428571431</v>
      </c>
      <c r="G24" s="5">
        <v>19</v>
      </c>
      <c r="H24" s="5">
        <f t="shared" si="3"/>
        <v>95</v>
      </c>
      <c r="I24" s="5">
        <v>23</v>
      </c>
      <c r="J24" s="8">
        <f t="shared" si="4"/>
        <v>52.173913043478258</v>
      </c>
      <c r="K24" s="8">
        <f t="shared" si="5"/>
        <v>49.565217391304351</v>
      </c>
      <c r="L24" s="5">
        <v>48</v>
      </c>
      <c r="M24" s="5">
        <v>153</v>
      </c>
      <c r="N24" s="3" t="s">
        <v>35</v>
      </c>
      <c r="O24" s="5">
        <v>19</v>
      </c>
      <c r="P24" s="3" t="s">
        <v>36</v>
      </c>
    </row>
    <row r="25" spans="1:16" x14ac:dyDescent="0.25">
      <c r="A25" s="3" t="s">
        <v>47</v>
      </c>
      <c r="B25" s="5">
        <v>20</v>
      </c>
      <c r="C25" s="5">
        <f t="shared" si="0"/>
        <v>100</v>
      </c>
      <c r="D25" s="5">
        <v>20</v>
      </c>
      <c r="E25" s="8">
        <f t="shared" si="1"/>
        <v>60</v>
      </c>
      <c r="F25" s="8">
        <f t="shared" si="2"/>
        <v>60</v>
      </c>
      <c r="G25" s="5">
        <v>19</v>
      </c>
      <c r="H25" s="5">
        <f t="shared" si="3"/>
        <v>95</v>
      </c>
      <c r="I25" s="5">
        <v>24</v>
      </c>
      <c r="J25" s="8">
        <f t="shared" si="4"/>
        <v>50</v>
      </c>
      <c r="K25" s="8">
        <f t="shared" si="5"/>
        <v>47.5</v>
      </c>
      <c r="L25" s="5">
        <v>44</v>
      </c>
      <c r="M25" s="5">
        <v>180</v>
      </c>
      <c r="N25" s="3" t="s">
        <v>48</v>
      </c>
      <c r="O25" s="5">
        <v>20</v>
      </c>
      <c r="P25" s="3" t="s">
        <v>95</v>
      </c>
    </row>
    <row r="26" spans="1:16" x14ac:dyDescent="0.25">
      <c r="A26" s="3" t="s">
        <v>69</v>
      </c>
      <c r="B26" s="5">
        <v>20</v>
      </c>
      <c r="C26" s="5">
        <f t="shared" si="0"/>
        <v>100</v>
      </c>
      <c r="D26" s="5">
        <v>21</v>
      </c>
      <c r="E26" s="8">
        <f t="shared" si="1"/>
        <v>57.142857142857146</v>
      </c>
      <c r="F26" s="8">
        <f t="shared" si="2"/>
        <v>57.142857142857146</v>
      </c>
      <c r="G26" s="5">
        <v>20</v>
      </c>
      <c r="H26" s="5">
        <f t="shared" si="3"/>
        <v>100</v>
      </c>
      <c r="I26" s="5">
        <v>20</v>
      </c>
      <c r="J26" s="8">
        <f t="shared" si="4"/>
        <v>60</v>
      </c>
      <c r="K26" s="8">
        <f t="shared" si="5"/>
        <v>60</v>
      </c>
      <c r="L26" s="5">
        <v>48</v>
      </c>
      <c r="M26" s="5">
        <v>150</v>
      </c>
      <c r="N26" s="3" t="s">
        <v>70</v>
      </c>
      <c r="O26" s="5">
        <v>23</v>
      </c>
      <c r="P26" s="3" t="s">
        <v>96</v>
      </c>
    </row>
    <row r="27" spans="1:16" x14ac:dyDescent="0.25">
      <c r="A27" s="3" t="s">
        <v>11</v>
      </c>
      <c r="B27" s="5">
        <v>20</v>
      </c>
      <c r="C27" s="5">
        <f t="shared" si="0"/>
        <v>100</v>
      </c>
      <c r="D27" s="5">
        <v>19</v>
      </c>
      <c r="E27" s="8">
        <f t="shared" si="1"/>
        <v>63.157894736842103</v>
      </c>
      <c r="F27" s="8">
        <f t="shared" si="2"/>
        <v>63.157894736842103</v>
      </c>
      <c r="G27" s="5">
        <v>20</v>
      </c>
      <c r="H27" s="5">
        <f t="shared" si="3"/>
        <v>100</v>
      </c>
      <c r="I27" s="5">
        <v>21</v>
      </c>
      <c r="J27" s="8">
        <f t="shared" si="4"/>
        <v>57.142857142857146</v>
      </c>
      <c r="K27" s="8">
        <f t="shared" si="5"/>
        <v>57.142857142857146</v>
      </c>
      <c r="L27" s="5">
        <v>49</v>
      </c>
      <c r="M27" s="5">
        <v>152</v>
      </c>
      <c r="N27" s="3" t="s">
        <v>13</v>
      </c>
      <c r="O27" s="5">
        <v>18</v>
      </c>
      <c r="P27" s="3" t="s">
        <v>12</v>
      </c>
    </row>
    <row r="28" spans="1:16" x14ac:dyDescent="0.25">
      <c r="A28" s="3" t="s">
        <v>57</v>
      </c>
      <c r="B28" s="5">
        <v>20</v>
      </c>
      <c r="C28" s="5">
        <f t="shared" si="0"/>
        <v>100</v>
      </c>
      <c r="D28" s="5">
        <v>13</v>
      </c>
      <c r="E28" s="8">
        <f t="shared" si="1"/>
        <v>92.307692307692307</v>
      </c>
      <c r="F28" s="8">
        <f t="shared" si="2"/>
        <v>92.307692307692307</v>
      </c>
      <c r="G28" s="5">
        <v>18</v>
      </c>
      <c r="H28" s="5">
        <f t="shared" si="3"/>
        <v>90</v>
      </c>
      <c r="I28" s="5">
        <v>21</v>
      </c>
      <c r="J28" s="8">
        <f t="shared" si="4"/>
        <v>57.142857142857146</v>
      </c>
      <c r="K28" s="8">
        <f t="shared" si="5"/>
        <v>51.428571428571431</v>
      </c>
      <c r="L28" s="5">
        <v>48</v>
      </c>
      <c r="M28" s="5">
        <v>180</v>
      </c>
      <c r="N28" s="3" t="s">
        <v>58</v>
      </c>
      <c r="O28" s="5">
        <v>18</v>
      </c>
      <c r="P28" s="3" t="s">
        <v>97</v>
      </c>
    </row>
    <row r="29" spans="1:16" x14ac:dyDescent="0.25">
      <c r="A29" s="3" t="s">
        <v>81</v>
      </c>
      <c r="B29" s="5">
        <v>20</v>
      </c>
      <c r="C29" s="5">
        <f t="shared" si="0"/>
        <v>100</v>
      </c>
      <c r="D29" s="5">
        <v>16</v>
      </c>
      <c r="E29" s="8">
        <f t="shared" si="1"/>
        <v>75</v>
      </c>
      <c r="F29" s="8">
        <f t="shared" si="2"/>
        <v>75</v>
      </c>
      <c r="G29" s="5">
        <v>19</v>
      </c>
      <c r="H29" s="5">
        <f t="shared" si="3"/>
        <v>95</v>
      </c>
      <c r="I29" s="5">
        <v>22</v>
      </c>
      <c r="J29" s="8">
        <f t="shared" si="4"/>
        <v>54.545454545454547</v>
      </c>
      <c r="K29" s="8">
        <f t="shared" si="5"/>
        <v>51.81818181818182</v>
      </c>
      <c r="L29" s="5">
        <v>49</v>
      </c>
      <c r="M29" s="5">
        <v>154</v>
      </c>
      <c r="N29" s="3" t="s">
        <v>82</v>
      </c>
      <c r="O29" s="5">
        <v>20</v>
      </c>
      <c r="P29" s="3" t="s">
        <v>98</v>
      </c>
    </row>
    <row r="30" spans="1:16" x14ac:dyDescent="0.25">
      <c r="A30" s="3" t="s">
        <v>79</v>
      </c>
      <c r="B30" s="5">
        <v>19</v>
      </c>
      <c r="C30" s="5">
        <f t="shared" si="0"/>
        <v>95</v>
      </c>
      <c r="D30" s="5">
        <v>11</v>
      </c>
      <c r="E30" s="8">
        <f t="shared" si="1"/>
        <v>109.09090909090909</v>
      </c>
      <c r="F30" s="8">
        <f t="shared" si="2"/>
        <v>103.63636363636364</v>
      </c>
      <c r="G30" s="5">
        <v>18</v>
      </c>
      <c r="H30" s="5">
        <f t="shared" si="3"/>
        <v>90</v>
      </c>
      <c r="I30" s="5">
        <v>16</v>
      </c>
      <c r="J30" s="8">
        <f t="shared" si="4"/>
        <v>75</v>
      </c>
      <c r="K30" s="8">
        <f t="shared" si="5"/>
        <v>67.5</v>
      </c>
      <c r="L30" s="5">
        <v>47</v>
      </c>
      <c r="M30" s="5">
        <v>104</v>
      </c>
      <c r="N30" s="3" t="s">
        <v>80</v>
      </c>
      <c r="O30" s="5">
        <v>19</v>
      </c>
      <c r="P30" s="3" t="s">
        <v>99</v>
      </c>
    </row>
    <row r="31" spans="1:16" x14ac:dyDescent="0.25">
      <c r="A31" s="3" t="s">
        <v>73</v>
      </c>
      <c r="B31" s="5">
        <v>20</v>
      </c>
      <c r="C31" s="5">
        <f t="shared" si="0"/>
        <v>100</v>
      </c>
      <c r="D31" s="5">
        <v>18</v>
      </c>
      <c r="E31" s="8">
        <f t="shared" si="1"/>
        <v>66.666666666666671</v>
      </c>
      <c r="F31" s="8">
        <f t="shared" si="2"/>
        <v>66.666666666666671</v>
      </c>
      <c r="G31" s="5">
        <v>18</v>
      </c>
      <c r="H31" s="5">
        <f t="shared" si="3"/>
        <v>90</v>
      </c>
      <c r="I31" s="5">
        <v>20</v>
      </c>
      <c r="J31" s="8">
        <f t="shared" si="4"/>
        <v>60</v>
      </c>
      <c r="K31" s="8">
        <f t="shared" si="5"/>
        <v>54</v>
      </c>
      <c r="L31" s="5">
        <v>51</v>
      </c>
      <c r="M31" s="5">
        <v>154</v>
      </c>
      <c r="N31" s="3" t="s">
        <v>74</v>
      </c>
      <c r="O31" s="5">
        <v>23</v>
      </c>
      <c r="P31" s="3" t="s">
        <v>100</v>
      </c>
    </row>
  </sheetData>
  <sortState xmlns:xlrd2="http://schemas.microsoft.com/office/spreadsheetml/2017/richdata2" ref="A2:P31">
    <sortCondition ref="A2:A31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4560-15F5-4492-B51A-7F489396685A}">
  <dimension ref="A1:C20"/>
  <sheetViews>
    <sheetView workbookViewId="0">
      <selection activeCell="B15" sqref="B15"/>
    </sheetView>
  </sheetViews>
  <sheetFormatPr defaultRowHeight="15" x14ac:dyDescent="0.25"/>
  <cols>
    <col min="1" max="1" width="29.140625" customWidth="1"/>
    <col min="2" max="2" width="87.7109375" customWidth="1"/>
    <col min="3" max="3" width="126.5703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 t="s">
        <v>3</v>
      </c>
      <c r="C2" t="s">
        <v>5</v>
      </c>
    </row>
    <row r="3" spans="1:3" x14ac:dyDescent="0.25">
      <c r="B3" t="s">
        <v>127</v>
      </c>
    </row>
    <row r="4" spans="1:3" x14ac:dyDescent="0.25">
      <c r="A4" t="s">
        <v>105</v>
      </c>
      <c r="B4" t="s">
        <v>119</v>
      </c>
      <c r="C4" t="s">
        <v>21</v>
      </c>
    </row>
    <row r="5" spans="1:3" x14ac:dyDescent="0.25">
      <c r="A5" t="s">
        <v>101</v>
      </c>
      <c r="B5" t="s">
        <v>117</v>
      </c>
      <c r="C5" t="s">
        <v>21</v>
      </c>
    </row>
    <row r="6" spans="1:3" x14ac:dyDescent="0.25">
      <c r="A6" t="s">
        <v>102</v>
      </c>
      <c r="B6" t="s">
        <v>121</v>
      </c>
      <c r="C6" t="s">
        <v>21</v>
      </c>
    </row>
    <row r="7" spans="1:3" x14ac:dyDescent="0.25">
      <c r="A7" t="s">
        <v>103</v>
      </c>
      <c r="B7" t="s">
        <v>126</v>
      </c>
      <c r="C7" t="s">
        <v>21</v>
      </c>
    </row>
    <row r="8" spans="1:3" x14ac:dyDescent="0.25">
      <c r="A8" t="s">
        <v>104</v>
      </c>
      <c r="B8" t="s">
        <v>125</v>
      </c>
      <c r="C8" t="s">
        <v>21</v>
      </c>
    </row>
    <row r="9" spans="1:3" x14ac:dyDescent="0.25">
      <c r="A9" t="s">
        <v>106</v>
      </c>
      <c r="B9" t="s">
        <v>120</v>
      </c>
      <c r="C9" t="s">
        <v>21</v>
      </c>
    </row>
    <row r="10" spans="1:3" x14ac:dyDescent="0.25">
      <c r="A10" t="s">
        <v>107</v>
      </c>
      <c r="B10" t="s">
        <v>118</v>
      </c>
      <c r="C10" t="s">
        <v>21</v>
      </c>
    </row>
    <row r="11" spans="1:3" x14ac:dyDescent="0.25">
      <c r="A11" t="s">
        <v>108</v>
      </c>
      <c r="B11" t="s">
        <v>122</v>
      </c>
      <c r="C11" t="s">
        <v>21</v>
      </c>
    </row>
    <row r="12" spans="1:3" x14ac:dyDescent="0.25">
      <c r="A12" t="s">
        <v>109</v>
      </c>
      <c r="B12" t="s">
        <v>124</v>
      </c>
      <c r="C12" t="s">
        <v>21</v>
      </c>
    </row>
    <row r="13" spans="1:3" x14ac:dyDescent="0.25">
      <c r="A13" t="s">
        <v>110</v>
      </c>
      <c r="B13" t="s">
        <v>123</v>
      </c>
      <c r="C13" t="s">
        <v>21</v>
      </c>
    </row>
    <row r="14" spans="1:3" x14ac:dyDescent="0.25">
      <c r="B14" t="s">
        <v>128</v>
      </c>
    </row>
    <row r="15" spans="1:3" x14ac:dyDescent="0.25">
      <c r="A15" t="s">
        <v>7</v>
      </c>
      <c r="B15" t="s">
        <v>111</v>
      </c>
      <c r="C15" t="s">
        <v>21</v>
      </c>
    </row>
    <row r="16" spans="1:3" x14ac:dyDescent="0.25">
      <c r="A16" t="s">
        <v>6</v>
      </c>
      <c r="B16" t="s">
        <v>112</v>
      </c>
      <c r="C16" t="s">
        <v>21</v>
      </c>
    </row>
    <row r="17" spans="1:3" x14ac:dyDescent="0.25">
      <c r="A17" t="s">
        <v>8</v>
      </c>
      <c r="B17" t="s">
        <v>113</v>
      </c>
      <c r="C17" t="s">
        <v>21</v>
      </c>
    </row>
    <row r="18" spans="1:3" x14ac:dyDescent="0.25">
      <c r="B18" t="s">
        <v>115</v>
      </c>
    </row>
    <row r="19" spans="1:3" x14ac:dyDescent="0.25">
      <c r="A19" t="s">
        <v>9</v>
      </c>
      <c r="B19" t="s">
        <v>114</v>
      </c>
      <c r="C19" t="s">
        <v>21</v>
      </c>
    </row>
    <row r="20" spans="1:3" x14ac:dyDescent="0.25">
      <c r="A20" t="s">
        <v>10</v>
      </c>
      <c r="B20" t="s">
        <v>116</v>
      </c>
      <c r="C2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MECODKOfflineData</vt:lpstr>
      <vt:lpstr>MECODKCodebook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 Kharlamov</dc:creator>
  <cp:lastModifiedBy>Noam Siegelman</cp:lastModifiedBy>
  <dcterms:created xsi:type="dcterms:W3CDTF">2022-04-06T13:56:04Z</dcterms:created>
  <dcterms:modified xsi:type="dcterms:W3CDTF">2025-02-11T16:25:25Z</dcterms:modified>
</cp:coreProperties>
</file>