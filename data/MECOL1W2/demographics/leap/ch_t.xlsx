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rogjoon/Downloads/Ind-Diff by Language _Checked/ch_t/"/>
    </mc:Choice>
  </mc:AlternateContent>
  <xr:revisionPtr revIDLastSave="0" documentId="13_ncr:1_{298C3EA0-33CD-6443-AEBE-2EB31E227B0D}" xr6:coauthVersionLast="47" xr6:coauthVersionMax="47" xr10:uidLastSave="{00000000-0000-0000-0000-000000000000}"/>
  <bookViews>
    <workbookView xWindow="0" yWindow="1500" windowWidth="28800" windowHeight="12180" xr2:uid="{E2E58229-5F67-4188-B0C2-4E58742C5038}"/>
  </bookViews>
  <sheets>
    <sheet name="LEAPQ" sheetId="2" r:id="rId1"/>
  </sheets>
  <definedNames>
    <definedName name="_xlnm._FilterDatabase" localSheetId="0" hidden="1">LEAPQ!$A$2:$AB$40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9" i="2" l="1"/>
  <c r="Y38" i="2"/>
  <c r="W38" i="2"/>
  <c r="W29" i="2"/>
  <c r="W11" i="2"/>
  <c r="Y10" i="2"/>
  <c r="X10" i="2"/>
  <c r="W10" i="2"/>
  <c r="Y5" i="2"/>
  <c r="X5" i="2"/>
  <c r="W5" i="2"/>
  <c r="Y3" i="2"/>
</calcChain>
</file>

<file path=xl/sharedStrings.xml><?xml version="1.0" encoding="utf-8"?>
<sst xmlns="http://schemas.openxmlformats.org/spreadsheetml/2006/main" count="252" uniqueCount="120">
  <si>
    <t>TWN-02</t>
  </si>
  <si>
    <t>TWN-03</t>
  </si>
  <si>
    <t>TWN-05</t>
  </si>
  <si>
    <t>TWN-07</t>
  </si>
  <si>
    <t>TWN-10</t>
  </si>
  <si>
    <t>TWN-11</t>
  </si>
  <si>
    <t>TWN-13</t>
  </si>
  <si>
    <t>TWN-16</t>
  </si>
  <si>
    <t>TWN-17</t>
  </si>
  <si>
    <t>TWN-18</t>
  </si>
  <si>
    <t>TWN-19</t>
  </si>
  <si>
    <t>TWN-20</t>
  </si>
  <si>
    <t>TWN-25</t>
  </si>
  <si>
    <t>TWN-26</t>
  </si>
  <si>
    <t>TWN-29</t>
  </si>
  <si>
    <t>TWN-30</t>
  </si>
  <si>
    <t>TWN-32</t>
  </si>
  <si>
    <t>TWN-36</t>
  </si>
  <si>
    <t>TWN-37</t>
  </si>
  <si>
    <t>TWN-42</t>
  </si>
  <si>
    <t>TWN-43</t>
  </si>
  <si>
    <t>TWN-44</t>
  </si>
  <si>
    <t>TWN-45</t>
  </si>
  <si>
    <t>TWN-46</t>
  </si>
  <si>
    <t>TWN-50</t>
  </si>
  <si>
    <t>TWN-51</t>
  </si>
  <si>
    <t>TWN-53</t>
  </si>
  <si>
    <t>TWN-54</t>
  </si>
  <si>
    <t>TWN-56</t>
  </si>
  <si>
    <t>TWN-57</t>
  </si>
  <si>
    <t>TWN-59</t>
  </si>
  <si>
    <t>TWN-60</t>
  </si>
  <si>
    <t>TWN-61</t>
  </si>
  <si>
    <t>TWN-63</t>
  </si>
  <si>
    <t>TWN-65</t>
  </si>
  <si>
    <t>TWN-68</t>
  </si>
  <si>
    <t>TWN-69</t>
  </si>
  <si>
    <t>TWN-70</t>
  </si>
  <si>
    <t>English</t>
  </si>
  <si>
    <t>L1</t>
  </si>
  <si>
    <t>Speaking</t>
  </si>
  <si>
    <t>Reading</t>
  </si>
  <si>
    <t>Exposure</t>
  </si>
  <si>
    <t>Text reading</t>
  </si>
  <si>
    <t>Conversation</t>
  </si>
  <si>
    <t>L1 Proficiency</t>
  </si>
  <si>
    <t>Age of English ...</t>
  </si>
  <si>
    <t>Years spent in ...</t>
  </si>
  <si>
    <t>English Proficiency</t>
  </si>
  <si>
    <t>subject</t>
  </si>
  <si>
    <t>old-id</t>
  </si>
  <si>
    <t>Total years</t>
  </si>
  <si>
    <t>Years in current institute</t>
  </si>
  <si>
    <t>Disorders</t>
  </si>
  <si>
    <t>Listening</t>
  </si>
  <si>
    <t>English rank</t>
  </si>
  <si>
    <t>Learning</t>
  </si>
  <si>
    <t>Fluency</t>
  </si>
  <si>
    <t>Reading fluency</t>
  </si>
  <si>
    <t>English country</t>
  </si>
  <si>
    <t>English family</t>
  </si>
  <si>
    <t>English school/workplace</t>
  </si>
  <si>
    <t>L2</t>
  </si>
  <si>
    <t>None</t>
  </si>
  <si>
    <t>High School</t>
  </si>
  <si>
    <t>L3</t>
  </si>
  <si>
    <t>Education</t>
    <phoneticPr fontId="2" type="noConversion"/>
  </si>
  <si>
    <t>Highest level of education</t>
    <phoneticPr fontId="2" type="noConversion"/>
  </si>
  <si>
    <t>twn-02</t>
  </si>
  <si>
    <t>twn-03</t>
  </si>
  <si>
    <t>twn-05</t>
  </si>
  <si>
    <t>twn-07</t>
  </si>
  <si>
    <t>twn-10</t>
  </si>
  <si>
    <t>twn-11</t>
  </si>
  <si>
    <t>twn-13</t>
  </si>
  <si>
    <t>twn-16</t>
  </si>
  <si>
    <t>twn-17</t>
  </si>
  <si>
    <t>twn-18</t>
  </si>
  <si>
    <t>twn-19</t>
  </si>
  <si>
    <t>twn-20</t>
  </si>
  <si>
    <t>twn-25</t>
  </si>
  <si>
    <t>twn-26</t>
  </si>
  <si>
    <t>twn-29</t>
  </si>
  <si>
    <t>twn-30</t>
  </si>
  <si>
    <t>twn-32</t>
  </si>
  <si>
    <t>twn-36</t>
  </si>
  <si>
    <t>twn-37</t>
  </si>
  <si>
    <t>twn-42</t>
  </si>
  <si>
    <t>twn-43</t>
  </si>
  <si>
    <t>twn-44</t>
  </si>
  <si>
    <t>twn-45</t>
  </si>
  <si>
    <t>twn-46</t>
  </si>
  <si>
    <t>twn-50</t>
  </si>
  <si>
    <t>twn-51</t>
  </si>
  <si>
    <t>twn-53</t>
  </si>
  <si>
    <t>twn-54</t>
  </si>
  <si>
    <t>twn-56</t>
  </si>
  <si>
    <t>twn-57</t>
  </si>
  <si>
    <t>twn-59</t>
  </si>
  <si>
    <t>twn-60</t>
  </si>
  <si>
    <t>twn-61</t>
  </si>
  <si>
    <t>twn-63</t>
  </si>
  <si>
    <t>twn-65</t>
  </si>
  <si>
    <t>twn-68</t>
  </si>
  <si>
    <t>twn-69</t>
  </si>
  <si>
    <t>twn-70</t>
  </si>
  <si>
    <t>University</t>
  </si>
  <si>
    <t>Some University</t>
  </si>
  <si>
    <t>Masters</t>
  </si>
  <si>
    <t>Some Graduate School</t>
  </si>
  <si>
    <t>L4</t>
    <phoneticPr fontId="2" type="noConversion"/>
  </si>
  <si>
    <t>15+</t>
  </si>
  <si>
    <t>other language</t>
    <phoneticPr fontId="2" type="noConversion"/>
  </si>
  <si>
    <t>English</t>
    <phoneticPr fontId="2" type="noConversion"/>
  </si>
  <si>
    <t>Taiwanese,English, Japanese</t>
    <phoneticPr fontId="2" type="noConversion"/>
  </si>
  <si>
    <t>Taiwanese,English</t>
    <phoneticPr fontId="2" type="noConversion"/>
  </si>
  <si>
    <t>Japanese,English</t>
    <phoneticPr fontId="2" type="noConversion"/>
  </si>
  <si>
    <t>Japanese,Russian</t>
    <phoneticPr fontId="2" type="noConversion"/>
  </si>
  <si>
    <t>English,Germany</t>
    <phoneticPr fontId="2" type="noConversion"/>
  </si>
  <si>
    <t>Include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</si>
</sst>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/>
    <xf numFmtId="2" fontId="1" fillId="0" borderId="0" xfId="0" applyNumberFormat="1" applyFont="1" applyAlignment="1"/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1" xfId="0" applyFont="1" applyBorder="1" applyAlignment="1"/>
    <xf numFmtId="0" fontId="1" fillId="0" borderId="5" xfId="0" applyFont="1" applyBorder="1" applyAlignment="1"/>
    <xf numFmtId="2" fontId="1" fillId="0" borderId="6" xfId="0" applyNumberFormat="1" applyFont="1" applyBorder="1" applyAlignment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80B8-2BFE-407A-988C-7C133AA6C059}">
  <dimension ref="A1:AB40"/>
  <sheetViews>
    <sheetView tabSelected="1" workbookViewId="0">
      <selection activeCell="B3" sqref="B3:B40"/>
    </sheetView>
  </sheetViews>
  <sheetFormatPr baseColWidth="10" defaultColWidth="8.83203125" defaultRowHeight="16"/>
  <cols>
    <col min="4" max="4" width="9"/>
  </cols>
  <sheetData>
    <row r="1" spans="1:28" s="3" customFormat="1">
      <c r="E1" s="19" t="s">
        <v>42</v>
      </c>
      <c r="F1" s="21"/>
      <c r="G1" s="19" t="s">
        <v>43</v>
      </c>
      <c r="H1" s="21"/>
      <c r="I1" s="19" t="s">
        <v>44</v>
      </c>
      <c r="J1" s="21"/>
      <c r="K1" s="19" t="s">
        <v>66</v>
      </c>
      <c r="L1" s="20"/>
      <c r="M1" s="21"/>
      <c r="N1" s="6"/>
      <c r="O1" s="19" t="s">
        <v>45</v>
      </c>
      <c r="P1" s="20"/>
      <c r="Q1" s="21"/>
      <c r="R1" s="19" t="s">
        <v>46</v>
      </c>
      <c r="S1" s="20"/>
      <c r="T1" s="20"/>
      <c r="U1" s="20"/>
      <c r="V1" s="21"/>
      <c r="W1" s="19" t="s">
        <v>47</v>
      </c>
      <c r="X1" s="20"/>
      <c r="Y1" s="21"/>
      <c r="Z1" s="19" t="s">
        <v>48</v>
      </c>
      <c r="AA1" s="20"/>
      <c r="AB1" s="21"/>
    </row>
    <row r="2" spans="1:28" s="10" customFormat="1">
      <c r="A2" s="12" t="s">
        <v>49</v>
      </c>
      <c r="B2" s="10" t="s">
        <v>119</v>
      </c>
      <c r="C2" s="11" t="s">
        <v>50</v>
      </c>
      <c r="D2" s="10" t="s">
        <v>112</v>
      </c>
      <c r="E2" s="11" t="s">
        <v>39</v>
      </c>
      <c r="F2" s="12" t="s">
        <v>38</v>
      </c>
      <c r="G2" s="11" t="s">
        <v>39</v>
      </c>
      <c r="H2" s="12" t="s">
        <v>38</v>
      </c>
      <c r="I2" s="11" t="s">
        <v>39</v>
      </c>
      <c r="J2" s="12" t="s">
        <v>38</v>
      </c>
      <c r="K2" s="11" t="s">
        <v>51</v>
      </c>
      <c r="L2" s="10" t="s">
        <v>52</v>
      </c>
      <c r="M2" s="12" t="s">
        <v>67</v>
      </c>
      <c r="N2" s="13" t="s">
        <v>53</v>
      </c>
      <c r="O2" s="11" t="s">
        <v>40</v>
      </c>
      <c r="P2" s="10" t="s">
        <v>54</v>
      </c>
      <c r="Q2" s="12" t="s">
        <v>41</v>
      </c>
      <c r="R2" s="11" t="s">
        <v>55</v>
      </c>
      <c r="S2" s="10" t="s">
        <v>56</v>
      </c>
      <c r="T2" s="10" t="s">
        <v>57</v>
      </c>
      <c r="U2" s="10" t="s">
        <v>41</v>
      </c>
      <c r="V2" s="12" t="s">
        <v>58</v>
      </c>
      <c r="W2" s="11" t="s">
        <v>59</v>
      </c>
      <c r="X2" s="10" t="s">
        <v>60</v>
      </c>
      <c r="Y2" s="12" t="s">
        <v>61</v>
      </c>
      <c r="Z2" s="11" t="s">
        <v>40</v>
      </c>
      <c r="AA2" s="10" t="s">
        <v>54</v>
      </c>
      <c r="AB2" s="12" t="s">
        <v>41</v>
      </c>
    </row>
    <row r="3" spans="1:28" ht="18">
      <c r="A3" s="5" t="s">
        <v>68</v>
      </c>
      <c r="B3">
        <v>1</v>
      </c>
      <c r="C3" s="4" t="s">
        <v>0</v>
      </c>
      <c r="D3" s="1" t="s">
        <v>113</v>
      </c>
      <c r="E3" s="4">
        <v>90</v>
      </c>
      <c r="F3" s="5">
        <v>10</v>
      </c>
      <c r="G3" s="4">
        <v>90</v>
      </c>
      <c r="H3" s="5">
        <v>10</v>
      </c>
      <c r="I3" s="4">
        <v>100</v>
      </c>
      <c r="J3" s="5">
        <v>0</v>
      </c>
      <c r="K3" s="4">
        <v>16</v>
      </c>
      <c r="L3">
        <v>0</v>
      </c>
      <c r="M3" s="5" t="s">
        <v>106</v>
      </c>
      <c r="N3" s="7" t="s">
        <v>63</v>
      </c>
      <c r="O3" s="4">
        <v>10</v>
      </c>
      <c r="P3">
        <v>10</v>
      </c>
      <c r="Q3" s="5">
        <v>10</v>
      </c>
      <c r="R3" s="4" t="s">
        <v>62</v>
      </c>
      <c r="S3">
        <v>6</v>
      </c>
      <c r="U3">
        <v>6</v>
      </c>
      <c r="V3" s="5" t="s">
        <v>111</v>
      </c>
      <c r="W3" s="2">
        <v>1</v>
      </c>
      <c r="X3" s="2">
        <v>0</v>
      </c>
      <c r="Y3" s="2">
        <f>3/12</f>
        <v>0.25</v>
      </c>
      <c r="Z3" s="4">
        <v>3</v>
      </c>
      <c r="AA3">
        <v>4</v>
      </c>
      <c r="AB3" s="5">
        <v>5</v>
      </c>
    </row>
    <row r="4" spans="1:28" ht="18">
      <c r="A4" s="5" t="s">
        <v>69</v>
      </c>
      <c r="B4">
        <v>1</v>
      </c>
      <c r="C4" s="4" t="s">
        <v>1</v>
      </c>
      <c r="D4" s="1" t="s">
        <v>114</v>
      </c>
      <c r="E4" s="4">
        <v>75</v>
      </c>
      <c r="F4" s="5">
        <v>15</v>
      </c>
      <c r="G4" s="4">
        <v>100</v>
      </c>
      <c r="H4" s="5">
        <v>0</v>
      </c>
      <c r="I4" s="4">
        <v>95</v>
      </c>
      <c r="J4" s="5">
        <v>5</v>
      </c>
      <c r="K4" s="4">
        <v>16</v>
      </c>
      <c r="L4">
        <v>3.5</v>
      </c>
      <c r="M4" s="5" t="s">
        <v>107</v>
      </c>
      <c r="N4" s="7" t="s">
        <v>63</v>
      </c>
      <c r="O4" s="4">
        <v>7</v>
      </c>
      <c r="P4">
        <v>8</v>
      </c>
      <c r="Q4" s="5">
        <v>9</v>
      </c>
      <c r="R4" s="4" t="s">
        <v>65</v>
      </c>
      <c r="S4">
        <v>4</v>
      </c>
      <c r="T4">
        <v>15</v>
      </c>
      <c r="U4">
        <v>4</v>
      </c>
      <c r="V4" s="5">
        <v>12</v>
      </c>
      <c r="W4" s="2">
        <v>0</v>
      </c>
      <c r="X4" s="2">
        <v>0</v>
      </c>
      <c r="Y4" s="2">
        <v>0</v>
      </c>
      <c r="Z4" s="4">
        <v>5</v>
      </c>
      <c r="AA4">
        <v>6</v>
      </c>
      <c r="AB4" s="5">
        <v>7</v>
      </c>
    </row>
    <row r="5" spans="1:28" ht="18">
      <c r="A5" s="5" t="s">
        <v>70</v>
      </c>
      <c r="B5">
        <v>1</v>
      </c>
      <c r="C5" s="4" t="s">
        <v>2</v>
      </c>
      <c r="D5" s="1"/>
      <c r="E5" s="4">
        <v>50</v>
      </c>
      <c r="F5" s="5">
        <v>50</v>
      </c>
      <c r="G5" s="4">
        <v>45</v>
      </c>
      <c r="H5" s="5">
        <v>55</v>
      </c>
      <c r="I5" s="4">
        <v>80</v>
      </c>
      <c r="J5" s="5">
        <v>20</v>
      </c>
      <c r="K5" s="4">
        <v>18</v>
      </c>
      <c r="L5">
        <v>0</v>
      </c>
      <c r="M5" s="5" t="s">
        <v>108</v>
      </c>
      <c r="N5" s="7" t="s">
        <v>63</v>
      </c>
      <c r="O5" s="4">
        <v>10</v>
      </c>
      <c r="P5">
        <v>10</v>
      </c>
      <c r="Q5" s="5">
        <v>10</v>
      </c>
      <c r="R5" s="4" t="s">
        <v>62</v>
      </c>
      <c r="S5">
        <v>10</v>
      </c>
      <c r="T5">
        <v>22</v>
      </c>
      <c r="U5">
        <v>10</v>
      </c>
      <c r="V5" s="5">
        <v>22</v>
      </c>
      <c r="W5" s="2">
        <f>2/12</f>
        <v>0.16666666666666666</v>
      </c>
      <c r="X5" s="2">
        <f>2/12</f>
        <v>0.16666666666666666</v>
      </c>
      <c r="Y5" s="2">
        <f>2/12</f>
        <v>0.16666666666666666</v>
      </c>
      <c r="Z5" s="4">
        <v>6</v>
      </c>
      <c r="AA5">
        <v>7</v>
      </c>
      <c r="AB5" s="5">
        <v>8</v>
      </c>
    </row>
    <row r="6" spans="1:28" ht="18">
      <c r="A6" s="5" t="s">
        <v>71</v>
      </c>
      <c r="B6">
        <v>1</v>
      </c>
      <c r="C6" s="4" t="s">
        <v>3</v>
      </c>
      <c r="D6" s="1"/>
      <c r="E6" s="4">
        <v>100</v>
      </c>
      <c r="F6" s="5">
        <v>0</v>
      </c>
      <c r="G6" s="4">
        <v>100</v>
      </c>
      <c r="H6" s="5">
        <v>0</v>
      </c>
      <c r="I6" s="4">
        <v>98</v>
      </c>
      <c r="J6" s="5">
        <v>2</v>
      </c>
      <c r="K6" s="4">
        <v>15</v>
      </c>
      <c r="L6">
        <v>3.5</v>
      </c>
      <c r="M6" s="5" t="s">
        <v>107</v>
      </c>
      <c r="N6" s="7" t="s">
        <v>63</v>
      </c>
      <c r="O6" s="4">
        <v>10</v>
      </c>
      <c r="P6">
        <v>8</v>
      </c>
      <c r="Q6" s="5">
        <v>8</v>
      </c>
      <c r="R6" s="4" t="s">
        <v>62</v>
      </c>
      <c r="S6">
        <v>6</v>
      </c>
      <c r="T6">
        <v>12</v>
      </c>
      <c r="U6">
        <v>12</v>
      </c>
      <c r="V6" s="5">
        <v>15</v>
      </c>
      <c r="W6" s="2">
        <v>0</v>
      </c>
      <c r="X6" s="2">
        <v>0</v>
      </c>
      <c r="Y6" s="2">
        <v>0</v>
      </c>
      <c r="Z6" s="4">
        <v>2</v>
      </c>
      <c r="AA6">
        <v>6</v>
      </c>
      <c r="AB6" s="5">
        <v>5</v>
      </c>
    </row>
    <row r="7" spans="1:28" ht="18">
      <c r="A7" s="5" t="s">
        <v>72</v>
      </c>
      <c r="B7">
        <v>1</v>
      </c>
      <c r="C7" s="4" t="s">
        <v>4</v>
      </c>
      <c r="D7" s="1"/>
      <c r="E7" s="4">
        <v>95</v>
      </c>
      <c r="F7" s="5">
        <v>5</v>
      </c>
      <c r="G7" s="4">
        <v>80</v>
      </c>
      <c r="H7" s="5">
        <v>20</v>
      </c>
      <c r="I7" s="4">
        <v>90</v>
      </c>
      <c r="J7" s="5">
        <v>10</v>
      </c>
      <c r="K7" s="4">
        <v>15</v>
      </c>
      <c r="L7">
        <v>3</v>
      </c>
      <c r="M7" s="5" t="s">
        <v>107</v>
      </c>
      <c r="N7" s="7" t="s">
        <v>63</v>
      </c>
      <c r="O7" s="4">
        <v>8</v>
      </c>
      <c r="P7">
        <v>9</v>
      </c>
      <c r="Q7" s="5">
        <v>9</v>
      </c>
      <c r="R7" s="4" t="s">
        <v>62</v>
      </c>
      <c r="S7">
        <v>6</v>
      </c>
      <c r="T7">
        <v>16</v>
      </c>
      <c r="U7">
        <v>10</v>
      </c>
      <c r="V7" s="5">
        <v>15</v>
      </c>
      <c r="W7" s="1">
        <v>0</v>
      </c>
      <c r="X7" s="1">
        <v>0</v>
      </c>
      <c r="Y7" s="1">
        <v>0</v>
      </c>
      <c r="Z7" s="4">
        <v>4</v>
      </c>
      <c r="AA7">
        <v>4</v>
      </c>
      <c r="AB7" s="5">
        <v>6</v>
      </c>
    </row>
    <row r="8" spans="1:28" ht="18">
      <c r="A8" s="5" t="s">
        <v>73</v>
      </c>
      <c r="B8">
        <v>1</v>
      </c>
      <c r="C8" s="4" t="s">
        <v>5</v>
      </c>
      <c r="D8" s="1" t="s">
        <v>113</v>
      </c>
      <c r="E8" s="4">
        <v>95</v>
      </c>
      <c r="F8" s="5">
        <v>5</v>
      </c>
      <c r="G8" s="4">
        <v>50</v>
      </c>
      <c r="H8" s="5">
        <v>50</v>
      </c>
      <c r="I8" s="4">
        <v>50</v>
      </c>
      <c r="J8" s="5">
        <v>50</v>
      </c>
      <c r="K8" s="4">
        <v>16</v>
      </c>
      <c r="L8">
        <v>4</v>
      </c>
      <c r="M8" s="5" t="s">
        <v>109</v>
      </c>
      <c r="N8" s="7" t="s">
        <v>63</v>
      </c>
      <c r="O8" s="4">
        <v>9</v>
      </c>
      <c r="P8">
        <v>9</v>
      </c>
      <c r="Q8" s="5">
        <v>9</v>
      </c>
      <c r="R8" s="4" t="s">
        <v>62</v>
      </c>
      <c r="S8">
        <v>7</v>
      </c>
      <c r="T8">
        <v>15</v>
      </c>
      <c r="U8">
        <v>7</v>
      </c>
      <c r="V8" s="5">
        <v>13</v>
      </c>
      <c r="W8" s="1">
        <v>0</v>
      </c>
      <c r="X8" s="1">
        <v>0</v>
      </c>
      <c r="Y8" s="1">
        <v>0</v>
      </c>
      <c r="Z8" s="4">
        <v>4</v>
      </c>
      <c r="AA8">
        <v>6</v>
      </c>
      <c r="AB8" s="5">
        <v>8</v>
      </c>
    </row>
    <row r="9" spans="1:28" ht="18">
      <c r="A9" s="5" t="s">
        <v>74</v>
      </c>
      <c r="B9">
        <v>1</v>
      </c>
      <c r="C9" s="4" t="s">
        <v>6</v>
      </c>
      <c r="D9" s="1" t="s">
        <v>113</v>
      </c>
      <c r="E9" s="4">
        <v>90</v>
      </c>
      <c r="F9" s="5">
        <v>10</v>
      </c>
      <c r="G9" s="4">
        <v>80</v>
      </c>
      <c r="H9" s="5">
        <v>20</v>
      </c>
      <c r="I9" s="4">
        <v>80</v>
      </c>
      <c r="J9" s="5">
        <v>20</v>
      </c>
      <c r="K9" s="4">
        <v>17</v>
      </c>
      <c r="L9">
        <v>1</v>
      </c>
      <c r="M9" s="5" t="s">
        <v>109</v>
      </c>
      <c r="N9" s="7" t="s">
        <v>63</v>
      </c>
      <c r="O9" s="4">
        <v>10</v>
      </c>
      <c r="P9">
        <v>10</v>
      </c>
      <c r="Q9" s="5">
        <v>10</v>
      </c>
      <c r="R9" s="4" t="s">
        <v>62</v>
      </c>
      <c r="S9">
        <v>5</v>
      </c>
      <c r="T9">
        <v>11</v>
      </c>
      <c r="U9">
        <v>7</v>
      </c>
      <c r="V9" s="5">
        <v>11</v>
      </c>
      <c r="W9" s="1">
        <v>0</v>
      </c>
      <c r="X9" s="1">
        <v>0</v>
      </c>
      <c r="Y9" s="1">
        <v>0</v>
      </c>
      <c r="Z9" s="4">
        <v>5</v>
      </c>
      <c r="AA9">
        <v>7</v>
      </c>
      <c r="AB9" s="5">
        <v>8</v>
      </c>
    </row>
    <row r="10" spans="1:28" ht="18">
      <c r="A10" s="5" t="s">
        <v>75</v>
      </c>
      <c r="B10">
        <v>1</v>
      </c>
      <c r="C10" s="4" t="s">
        <v>7</v>
      </c>
      <c r="D10" s="1" t="s">
        <v>115</v>
      </c>
      <c r="E10" s="4">
        <v>90</v>
      </c>
      <c r="F10" s="5">
        <v>10</v>
      </c>
      <c r="G10" s="4">
        <v>90</v>
      </c>
      <c r="H10" s="5">
        <v>10</v>
      </c>
      <c r="I10" s="4">
        <v>100</v>
      </c>
      <c r="J10" s="5">
        <v>0</v>
      </c>
      <c r="K10" s="4">
        <v>16</v>
      </c>
      <c r="L10">
        <v>1.5</v>
      </c>
      <c r="M10" s="5" t="s">
        <v>109</v>
      </c>
      <c r="N10" s="7" t="s">
        <v>63</v>
      </c>
      <c r="O10" s="4">
        <v>9</v>
      </c>
      <c r="P10">
        <v>9</v>
      </c>
      <c r="Q10" s="5">
        <v>9</v>
      </c>
      <c r="R10" s="4" t="s">
        <v>62</v>
      </c>
      <c r="S10">
        <v>5</v>
      </c>
      <c r="T10">
        <v>16</v>
      </c>
      <c r="U10">
        <v>5</v>
      </c>
      <c r="V10" s="5">
        <v>16</v>
      </c>
      <c r="W10" s="2">
        <f>0.75/12</f>
        <v>6.25E-2</v>
      </c>
      <c r="X10" s="2">
        <f>0.75/12</f>
        <v>6.25E-2</v>
      </c>
      <c r="Y10" s="2">
        <f>0.75/12</f>
        <v>6.25E-2</v>
      </c>
      <c r="Z10" s="4">
        <v>6</v>
      </c>
      <c r="AA10">
        <v>6</v>
      </c>
      <c r="AB10" s="5">
        <v>6</v>
      </c>
    </row>
    <row r="11" spans="1:28" ht="18">
      <c r="A11" s="5" t="s">
        <v>76</v>
      </c>
      <c r="B11">
        <v>1</v>
      </c>
      <c r="C11" s="4" t="s">
        <v>8</v>
      </c>
      <c r="D11" s="1"/>
      <c r="E11" s="4">
        <v>80</v>
      </c>
      <c r="F11" s="5">
        <v>20</v>
      </c>
      <c r="G11" s="4">
        <v>90</v>
      </c>
      <c r="H11" s="5">
        <v>10</v>
      </c>
      <c r="I11" s="4">
        <v>70</v>
      </c>
      <c r="J11" s="5">
        <v>30</v>
      </c>
      <c r="K11" s="4">
        <v>15</v>
      </c>
      <c r="L11">
        <v>2</v>
      </c>
      <c r="M11" s="5" t="s">
        <v>107</v>
      </c>
      <c r="N11" s="7" t="s">
        <v>63</v>
      </c>
      <c r="O11" s="4">
        <v>10</v>
      </c>
      <c r="P11">
        <v>10</v>
      </c>
      <c r="Q11" s="5">
        <v>10</v>
      </c>
      <c r="R11" s="4" t="s">
        <v>62</v>
      </c>
      <c r="S11">
        <v>5</v>
      </c>
      <c r="T11">
        <v>18</v>
      </c>
      <c r="U11">
        <v>5</v>
      </c>
      <c r="V11" s="5">
        <v>15</v>
      </c>
      <c r="W11" s="2">
        <f>2/12</f>
        <v>0.16666666666666666</v>
      </c>
      <c r="X11" s="1">
        <v>0</v>
      </c>
      <c r="Y11" s="1">
        <v>0</v>
      </c>
      <c r="Z11" s="4">
        <v>7</v>
      </c>
      <c r="AA11">
        <v>8</v>
      </c>
      <c r="AB11" s="5">
        <v>8</v>
      </c>
    </row>
    <row r="12" spans="1:28" ht="18">
      <c r="A12" s="5" t="s">
        <v>77</v>
      </c>
      <c r="B12">
        <v>1</v>
      </c>
      <c r="C12" s="4" t="s">
        <v>9</v>
      </c>
      <c r="D12" s="1" t="s">
        <v>113</v>
      </c>
      <c r="E12" s="4">
        <v>90</v>
      </c>
      <c r="F12" s="5">
        <v>10</v>
      </c>
      <c r="G12" s="4">
        <v>90</v>
      </c>
      <c r="H12" s="5">
        <v>10</v>
      </c>
      <c r="I12" s="4">
        <v>90</v>
      </c>
      <c r="J12" s="5">
        <v>10</v>
      </c>
      <c r="K12" s="4">
        <v>22</v>
      </c>
      <c r="L12">
        <v>0</v>
      </c>
      <c r="M12" s="5" t="s">
        <v>106</v>
      </c>
      <c r="N12" s="7" t="s">
        <v>63</v>
      </c>
      <c r="O12" s="4">
        <v>10</v>
      </c>
      <c r="P12">
        <v>10</v>
      </c>
      <c r="Q12" s="5">
        <v>10</v>
      </c>
      <c r="R12" s="4" t="s">
        <v>62</v>
      </c>
      <c r="S12">
        <v>8</v>
      </c>
      <c r="T12">
        <v>18</v>
      </c>
      <c r="U12">
        <v>8</v>
      </c>
      <c r="V12" s="5">
        <v>8</v>
      </c>
      <c r="W12" s="1">
        <v>0</v>
      </c>
      <c r="X12" s="1">
        <v>0</v>
      </c>
      <c r="Y12" s="1">
        <v>0</v>
      </c>
      <c r="Z12" s="4">
        <v>7</v>
      </c>
      <c r="AA12">
        <v>7</v>
      </c>
      <c r="AB12" s="5">
        <v>7</v>
      </c>
    </row>
    <row r="13" spans="1:28" ht="18">
      <c r="A13" s="5" t="s">
        <v>78</v>
      </c>
      <c r="B13">
        <v>1</v>
      </c>
      <c r="C13" s="4" t="s">
        <v>10</v>
      </c>
      <c r="D13" s="1"/>
      <c r="E13" s="4">
        <v>90</v>
      </c>
      <c r="F13" s="5">
        <v>10</v>
      </c>
      <c r="G13" s="4">
        <v>85</v>
      </c>
      <c r="H13" s="5">
        <v>15</v>
      </c>
      <c r="I13" s="4">
        <v>90</v>
      </c>
      <c r="J13" s="5">
        <v>10</v>
      </c>
      <c r="K13" s="4">
        <v>15</v>
      </c>
      <c r="L13">
        <v>3</v>
      </c>
      <c r="M13" s="5" t="s">
        <v>107</v>
      </c>
      <c r="N13" s="7" t="s">
        <v>63</v>
      </c>
      <c r="O13" s="4">
        <v>10</v>
      </c>
      <c r="P13">
        <v>10</v>
      </c>
      <c r="Q13" s="5">
        <v>10</v>
      </c>
      <c r="R13" s="4" t="s">
        <v>62</v>
      </c>
      <c r="S13">
        <v>10</v>
      </c>
      <c r="T13">
        <v>18</v>
      </c>
      <c r="U13">
        <v>10</v>
      </c>
      <c r="V13" s="5">
        <v>18</v>
      </c>
      <c r="W13" s="1">
        <v>0</v>
      </c>
      <c r="X13" s="1">
        <v>0</v>
      </c>
      <c r="Y13" s="1">
        <v>0</v>
      </c>
      <c r="Z13" s="4">
        <v>5</v>
      </c>
      <c r="AA13">
        <v>6</v>
      </c>
      <c r="AB13" s="5">
        <v>6</v>
      </c>
    </row>
    <row r="14" spans="1:28" ht="18">
      <c r="A14" s="5" t="s">
        <v>79</v>
      </c>
      <c r="B14">
        <v>1</v>
      </c>
      <c r="C14" s="4" t="s">
        <v>11</v>
      </c>
      <c r="D14" s="1"/>
      <c r="E14" s="4">
        <v>90</v>
      </c>
      <c r="F14" s="5">
        <v>10</v>
      </c>
      <c r="G14" s="4">
        <v>95</v>
      </c>
      <c r="H14" s="5">
        <v>5</v>
      </c>
      <c r="I14" s="4">
        <v>98</v>
      </c>
      <c r="J14" s="5">
        <v>2</v>
      </c>
      <c r="K14" s="4">
        <v>16</v>
      </c>
      <c r="L14">
        <v>1</v>
      </c>
      <c r="M14" s="5" t="s">
        <v>109</v>
      </c>
      <c r="N14" s="7" t="s">
        <v>63</v>
      </c>
      <c r="O14" s="4">
        <v>6</v>
      </c>
      <c r="P14">
        <v>6</v>
      </c>
      <c r="Q14" s="5">
        <v>7</v>
      </c>
      <c r="R14" s="4" t="s">
        <v>62</v>
      </c>
      <c r="S14">
        <v>12</v>
      </c>
      <c r="T14">
        <v>15</v>
      </c>
      <c r="U14">
        <v>18</v>
      </c>
      <c r="V14" s="5">
        <v>22</v>
      </c>
      <c r="W14" s="1">
        <v>0</v>
      </c>
      <c r="X14" s="1">
        <v>0</v>
      </c>
      <c r="Y14" s="1">
        <v>0</v>
      </c>
      <c r="Z14" s="4">
        <v>4</v>
      </c>
      <c r="AA14">
        <v>3</v>
      </c>
      <c r="AB14" s="5">
        <v>6</v>
      </c>
    </row>
    <row r="15" spans="1:28" ht="18">
      <c r="A15" s="5" t="s">
        <v>80</v>
      </c>
      <c r="B15">
        <v>1</v>
      </c>
      <c r="C15" s="4" t="s">
        <v>12</v>
      </c>
      <c r="D15" s="1" t="s">
        <v>113</v>
      </c>
      <c r="E15" s="4">
        <v>90</v>
      </c>
      <c r="F15" s="5">
        <v>10</v>
      </c>
      <c r="G15" s="4">
        <v>100</v>
      </c>
      <c r="H15" s="5">
        <v>0</v>
      </c>
      <c r="I15" s="4">
        <v>90</v>
      </c>
      <c r="J15" s="5">
        <v>10</v>
      </c>
      <c r="K15" s="4">
        <v>15</v>
      </c>
      <c r="L15">
        <v>2</v>
      </c>
      <c r="M15" s="5" t="s">
        <v>107</v>
      </c>
      <c r="N15" s="7" t="s">
        <v>63</v>
      </c>
      <c r="O15" s="4">
        <v>8</v>
      </c>
      <c r="P15">
        <v>8</v>
      </c>
      <c r="Q15" s="5">
        <v>8</v>
      </c>
      <c r="R15" s="4" t="s">
        <v>62</v>
      </c>
      <c r="S15">
        <v>5</v>
      </c>
      <c r="T15">
        <v>0</v>
      </c>
      <c r="U15">
        <v>10</v>
      </c>
      <c r="V15" s="5">
        <v>16</v>
      </c>
      <c r="W15" s="1">
        <v>0</v>
      </c>
      <c r="X15" s="1">
        <v>0</v>
      </c>
      <c r="Y15" s="1">
        <v>0</v>
      </c>
      <c r="Z15" s="4">
        <v>5</v>
      </c>
      <c r="AA15">
        <v>5</v>
      </c>
      <c r="AB15" s="5">
        <v>6</v>
      </c>
    </row>
    <row r="16" spans="1:28" ht="18">
      <c r="A16" s="5" t="s">
        <v>81</v>
      </c>
      <c r="B16">
        <v>1</v>
      </c>
      <c r="C16" s="4" t="s">
        <v>13</v>
      </c>
      <c r="D16" s="1" t="s">
        <v>113</v>
      </c>
      <c r="E16" s="4">
        <v>95</v>
      </c>
      <c r="F16" s="5">
        <v>5</v>
      </c>
      <c r="G16" s="4">
        <v>80</v>
      </c>
      <c r="H16" s="5">
        <v>20</v>
      </c>
      <c r="I16" s="4">
        <v>90</v>
      </c>
      <c r="J16" s="5">
        <v>10</v>
      </c>
      <c r="K16" s="4">
        <v>15</v>
      </c>
      <c r="L16">
        <v>3</v>
      </c>
      <c r="M16" s="5" t="s">
        <v>107</v>
      </c>
      <c r="N16" s="7" t="s">
        <v>63</v>
      </c>
      <c r="O16" s="4">
        <v>8</v>
      </c>
      <c r="P16">
        <v>9</v>
      </c>
      <c r="Q16" s="5">
        <v>8</v>
      </c>
      <c r="R16" s="4" t="s">
        <v>62</v>
      </c>
      <c r="S16">
        <v>8</v>
      </c>
      <c r="T16">
        <v>18</v>
      </c>
      <c r="U16">
        <v>8</v>
      </c>
      <c r="V16" s="5">
        <v>13</v>
      </c>
      <c r="W16" s="1">
        <v>0</v>
      </c>
      <c r="X16" s="1">
        <v>0</v>
      </c>
      <c r="Y16" s="1">
        <v>0</v>
      </c>
      <c r="Z16" s="4">
        <v>5</v>
      </c>
      <c r="AA16">
        <v>6</v>
      </c>
      <c r="AB16" s="5">
        <v>7</v>
      </c>
    </row>
    <row r="17" spans="1:28" ht="18">
      <c r="A17" s="5" t="s">
        <v>82</v>
      </c>
      <c r="B17">
        <v>1</v>
      </c>
      <c r="C17" s="4" t="s">
        <v>14</v>
      </c>
      <c r="D17" s="1" t="s">
        <v>113</v>
      </c>
      <c r="E17" s="4">
        <v>100</v>
      </c>
      <c r="F17" s="5">
        <v>0</v>
      </c>
      <c r="G17" s="4">
        <v>100</v>
      </c>
      <c r="H17" s="5">
        <v>0</v>
      </c>
      <c r="I17" s="4">
        <v>50</v>
      </c>
      <c r="J17" s="5">
        <v>50</v>
      </c>
      <c r="K17" s="4">
        <v>15</v>
      </c>
      <c r="L17">
        <v>3</v>
      </c>
      <c r="M17" s="5" t="s">
        <v>107</v>
      </c>
      <c r="N17" s="7" t="s">
        <v>63</v>
      </c>
      <c r="O17" s="4">
        <v>9</v>
      </c>
      <c r="P17">
        <v>9</v>
      </c>
      <c r="Q17" s="5">
        <v>9</v>
      </c>
      <c r="R17" s="4" t="s">
        <v>62</v>
      </c>
      <c r="S17">
        <v>5</v>
      </c>
      <c r="T17">
        <v>15</v>
      </c>
      <c r="U17">
        <v>7</v>
      </c>
      <c r="V17" s="5">
        <v>15</v>
      </c>
      <c r="W17" s="1">
        <v>0</v>
      </c>
      <c r="X17" s="1">
        <v>0</v>
      </c>
      <c r="Y17" s="1">
        <v>0</v>
      </c>
      <c r="Z17" s="4">
        <v>6</v>
      </c>
      <c r="AA17">
        <v>6</v>
      </c>
      <c r="AB17" s="5">
        <v>5</v>
      </c>
    </row>
    <row r="18" spans="1:28" ht="18">
      <c r="A18" s="5" t="s">
        <v>83</v>
      </c>
      <c r="B18">
        <v>1</v>
      </c>
      <c r="C18" s="4" t="s">
        <v>15</v>
      </c>
      <c r="D18" s="1"/>
      <c r="E18" s="4">
        <v>99</v>
      </c>
      <c r="F18" s="5">
        <v>1</v>
      </c>
      <c r="G18" s="4">
        <v>100</v>
      </c>
      <c r="H18" s="5">
        <v>0</v>
      </c>
      <c r="I18" s="4">
        <v>100</v>
      </c>
      <c r="J18" s="5">
        <v>0</v>
      </c>
      <c r="K18" s="4">
        <v>15</v>
      </c>
      <c r="L18">
        <v>3</v>
      </c>
      <c r="M18" s="5" t="s">
        <v>107</v>
      </c>
      <c r="N18" s="7" t="s">
        <v>63</v>
      </c>
      <c r="O18" s="4">
        <v>10</v>
      </c>
      <c r="P18">
        <v>10</v>
      </c>
      <c r="Q18" s="5">
        <v>10</v>
      </c>
      <c r="R18" s="4" t="s">
        <v>62</v>
      </c>
      <c r="S18">
        <v>7</v>
      </c>
      <c r="T18">
        <v>15</v>
      </c>
      <c r="U18">
        <v>7</v>
      </c>
      <c r="V18" s="5">
        <v>15</v>
      </c>
      <c r="W18" s="1">
        <v>0</v>
      </c>
      <c r="X18" s="1">
        <v>0</v>
      </c>
      <c r="Y18" s="1">
        <v>0</v>
      </c>
      <c r="Z18" s="4">
        <v>2</v>
      </c>
      <c r="AA18">
        <v>2</v>
      </c>
      <c r="AB18" s="5">
        <v>2</v>
      </c>
    </row>
    <row r="19" spans="1:28" ht="18">
      <c r="A19" s="5" t="s">
        <v>84</v>
      </c>
      <c r="B19">
        <v>1</v>
      </c>
      <c r="C19" s="4" t="s">
        <v>16</v>
      </c>
      <c r="D19" s="1" t="s">
        <v>116</v>
      </c>
      <c r="E19" s="4">
        <v>92</v>
      </c>
      <c r="F19" s="5">
        <v>8</v>
      </c>
      <c r="G19" s="4">
        <v>100</v>
      </c>
      <c r="H19" s="5">
        <v>0</v>
      </c>
      <c r="I19" s="4">
        <v>100</v>
      </c>
      <c r="J19" s="5">
        <v>0</v>
      </c>
      <c r="K19" s="4">
        <v>14</v>
      </c>
      <c r="L19">
        <v>1.5</v>
      </c>
      <c r="M19" s="5" t="s">
        <v>109</v>
      </c>
      <c r="N19" s="7" t="s">
        <v>63</v>
      </c>
      <c r="O19" s="4">
        <v>10</v>
      </c>
      <c r="P19">
        <v>9</v>
      </c>
      <c r="Q19" s="5">
        <v>10</v>
      </c>
      <c r="R19" s="4" t="s">
        <v>65</v>
      </c>
      <c r="S19">
        <v>3</v>
      </c>
      <c r="T19">
        <v>17</v>
      </c>
      <c r="U19">
        <v>3</v>
      </c>
      <c r="V19" s="5">
        <v>17</v>
      </c>
      <c r="W19" s="1">
        <v>0</v>
      </c>
      <c r="X19" s="1">
        <v>0</v>
      </c>
      <c r="Y19" s="1">
        <v>0</v>
      </c>
      <c r="Z19" s="4">
        <v>5</v>
      </c>
      <c r="AA19">
        <v>6</v>
      </c>
      <c r="AB19" s="5">
        <v>6</v>
      </c>
    </row>
    <row r="20" spans="1:28" ht="18">
      <c r="A20" s="5" t="s">
        <v>85</v>
      </c>
      <c r="B20">
        <v>1</v>
      </c>
      <c r="C20" s="4" t="s">
        <v>17</v>
      </c>
      <c r="D20" s="1"/>
      <c r="E20" s="4">
        <v>80</v>
      </c>
      <c r="F20" s="5">
        <v>20</v>
      </c>
      <c r="G20" s="4">
        <v>80</v>
      </c>
      <c r="H20" s="5">
        <v>20</v>
      </c>
      <c r="I20" s="4">
        <v>50</v>
      </c>
      <c r="J20" s="5">
        <v>50</v>
      </c>
      <c r="K20" s="4">
        <v>16</v>
      </c>
      <c r="L20">
        <v>4</v>
      </c>
      <c r="M20" s="5" t="s">
        <v>106</v>
      </c>
      <c r="N20" s="7" t="s">
        <v>63</v>
      </c>
      <c r="O20" s="4">
        <v>10</v>
      </c>
      <c r="P20">
        <v>10</v>
      </c>
      <c r="Q20" s="5">
        <v>10</v>
      </c>
      <c r="R20" s="4" t="s">
        <v>62</v>
      </c>
      <c r="S20">
        <v>7</v>
      </c>
      <c r="T20">
        <v>18</v>
      </c>
      <c r="U20">
        <v>7</v>
      </c>
      <c r="V20" s="5">
        <v>15</v>
      </c>
      <c r="W20" s="1">
        <v>0</v>
      </c>
      <c r="X20" s="1">
        <v>0</v>
      </c>
      <c r="Y20" s="1">
        <v>0</v>
      </c>
      <c r="Z20" s="4">
        <v>7</v>
      </c>
      <c r="AA20">
        <v>7</v>
      </c>
      <c r="AB20" s="5">
        <v>8</v>
      </c>
    </row>
    <row r="21" spans="1:28" ht="18">
      <c r="A21" s="5" t="s">
        <v>86</v>
      </c>
      <c r="B21">
        <v>1</v>
      </c>
      <c r="C21" s="4" t="s">
        <v>18</v>
      </c>
      <c r="D21" s="1" t="s">
        <v>116</v>
      </c>
      <c r="E21" s="4">
        <v>95</v>
      </c>
      <c r="F21" s="5">
        <v>5</v>
      </c>
      <c r="G21" s="4">
        <v>90</v>
      </c>
      <c r="H21" s="5">
        <v>10</v>
      </c>
      <c r="I21" s="4">
        <v>80</v>
      </c>
      <c r="J21" s="5">
        <v>20</v>
      </c>
      <c r="K21" s="4">
        <v>15</v>
      </c>
      <c r="L21">
        <v>6</v>
      </c>
      <c r="M21" s="5" t="s">
        <v>109</v>
      </c>
      <c r="N21" s="7" t="s">
        <v>63</v>
      </c>
      <c r="O21" s="4">
        <v>10</v>
      </c>
      <c r="P21">
        <v>10</v>
      </c>
      <c r="Q21" s="5">
        <v>9</v>
      </c>
      <c r="R21" s="4" t="s">
        <v>62</v>
      </c>
      <c r="S21">
        <v>11</v>
      </c>
      <c r="T21">
        <v>25</v>
      </c>
      <c r="U21">
        <v>11</v>
      </c>
      <c r="V21" s="5">
        <v>25</v>
      </c>
      <c r="W21" s="1">
        <v>0</v>
      </c>
      <c r="X21" s="1">
        <v>0</v>
      </c>
      <c r="Y21" s="1">
        <v>3</v>
      </c>
      <c r="Z21" s="4">
        <v>2</v>
      </c>
      <c r="AA21">
        <v>2</v>
      </c>
      <c r="AB21" s="5">
        <v>5</v>
      </c>
    </row>
    <row r="22" spans="1:28" ht="18">
      <c r="A22" s="5" t="s">
        <v>87</v>
      </c>
      <c r="B22">
        <v>1</v>
      </c>
      <c r="C22" s="4" t="s">
        <v>19</v>
      </c>
      <c r="D22" s="1"/>
      <c r="E22" s="4">
        <v>92</v>
      </c>
      <c r="F22" s="5">
        <v>8</v>
      </c>
      <c r="G22" s="4">
        <v>100</v>
      </c>
      <c r="H22" s="5">
        <v>0</v>
      </c>
      <c r="I22" s="4">
        <v>88</v>
      </c>
      <c r="J22" s="5">
        <v>12</v>
      </c>
      <c r="K22" s="4">
        <v>18</v>
      </c>
      <c r="L22">
        <v>2</v>
      </c>
      <c r="M22" s="5" t="s">
        <v>109</v>
      </c>
      <c r="N22" s="7" t="s">
        <v>63</v>
      </c>
      <c r="O22" s="4">
        <v>8</v>
      </c>
      <c r="P22">
        <v>8</v>
      </c>
      <c r="Q22" s="5">
        <v>9</v>
      </c>
      <c r="R22" s="4" t="s">
        <v>62</v>
      </c>
      <c r="S22">
        <v>10</v>
      </c>
      <c r="T22">
        <v>18</v>
      </c>
      <c r="U22">
        <v>13</v>
      </c>
      <c r="V22" s="5">
        <v>18</v>
      </c>
      <c r="W22" s="1">
        <v>0</v>
      </c>
      <c r="X22" s="1">
        <v>0</v>
      </c>
      <c r="Y22" s="1">
        <v>0</v>
      </c>
      <c r="Z22" s="4">
        <v>3</v>
      </c>
      <c r="AA22">
        <v>3</v>
      </c>
      <c r="AB22" s="5">
        <v>5</v>
      </c>
    </row>
    <row r="23" spans="1:28" ht="18">
      <c r="A23" s="5" t="s">
        <v>88</v>
      </c>
      <c r="B23">
        <v>1</v>
      </c>
      <c r="C23" s="4" t="s">
        <v>20</v>
      </c>
      <c r="D23" s="1" t="s">
        <v>113</v>
      </c>
      <c r="E23" s="4">
        <v>90</v>
      </c>
      <c r="F23" s="5">
        <v>10</v>
      </c>
      <c r="G23" s="4">
        <v>100</v>
      </c>
      <c r="H23" s="5">
        <v>0</v>
      </c>
      <c r="I23" s="4">
        <v>100</v>
      </c>
      <c r="J23" s="5">
        <v>0</v>
      </c>
      <c r="K23" s="4">
        <v>16</v>
      </c>
      <c r="L23">
        <v>0</v>
      </c>
      <c r="M23" s="5" t="s">
        <v>106</v>
      </c>
      <c r="N23" s="7" t="s">
        <v>63</v>
      </c>
      <c r="O23" s="4">
        <v>9</v>
      </c>
      <c r="P23">
        <v>8</v>
      </c>
      <c r="Q23" s="5">
        <v>9</v>
      </c>
      <c r="R23" s="4" t="s">
        <v>62</v>
      </c>
      <c r="S23">
        <v>10</v>
      </c>
      <c r="T23">
        <v>27</v>
      </c>
      <c r="U23">
        <v>10</v>
      </c>
      <c r="V23" s="5">
        <v>16</v>
      </c>
      <c r="W23" s="1">
        <v>0</v>
      </c>
      <c r="X23" s="1">
        <v>0</v>
      </c>
      <c r="Y23" s="1">
        <v>0</v>
      </c>
      <c r="Z23" s="4">
        <v>5</v>
      </c>
      <c r="AA23">
        <v>5</v>
      </c>
      <c r="AB23" s="5">
        <v>7</v>
      </c>
    </row>
    <row r="24" spans="1:28" ht="18">
      <c r="A24" s="5" t="s">
        <v>89</v>
      </c>
      <c r="B24">
        <v>1</v>
      </c>
      <c r="C24" s="4" t="s">
        <v>21</v>
      </c>
      <c r="D24" s="1" t="s">
        <v>113</v>
      </c>
      <c r="E24" s="4">
        <v>70</v>
      </c>
      <c r="F24" s="5">
        <v>70</v>
      </c>
      <c r="G24" s="4">
        <v>60</v>
      </c>
      <c r="H24" s="5">
        <v>40</v>
      </c>
      <c r="I24" s="4">
        <v>20</v>
      </c>
      <c r="J24" s="5">
        <v>80</v>
      </c>
      <c r="K24" s="4">
        <v>16</v>
      </c>
      <c r="L24">
        <v>0</v>
      </c>
      <c r="M24" s="5" t="s">
        <v>106</v>
      </c>
      <c r="N24" s="7" t="s">
        <v>63</v>
      </c>
      <c r="O24" s="4">
        <v>10</v>
      </c>
      <c r="P24">
        <v>10</v>
      </c>
      <c r="Q24" s="5">
        <v>10</v>
      </c>
      <c r="R24" s="4" t="s">
        <v>62</v>
      </c>
      <c r="S24">
        <v>7</v>
      </c>
      <c r="T24">
        <v>19</v>
      </c>
      <c r="U24">
        <v>12</v>
      </c>
      <c r="V24" s="5">
        <v>19</v>
      </c>
      <c r="W24" s="1">
        <v>0</v>
      </c>
      <c r="X24" s="1">
        <v>0</v>
      </c>
      <c r="Y24" s="1">
        <v>0</v>
      </c>
      <c r="Z24" s="4">
        <v>7</v>
      </c>
      <c r="AA24">
        <v>8</v>
      </c>
      <c r="AB24" s="5">
        <v>9</v>
      </c>
    </row>
    <row r="25" spans="1:28" ht="18">
      <c r="A25" s="5" t="s">
        <v>90</v>
      </c>
      <c r="B25">
        <v>1</v>
      </c>
      <c r="C25" s="4" t="s">
        <v>22</v>
      </c>
      <c r="D25" s="1" t="s">
        <v>113</v>
      </c>
      <c r="E25" s="4">
        <v>90</v>
      </c>
      <c r="F25" s="5">
        <v>10</v>
      </c>
      <c r="G25" s="4">
        <v>100</v>
      </c>
      <c r="H25" s="5">
        <v>0</v>
      </c>
      <c r="I25" s="4">
        <v>95</v>
      </c>
      <c r="J25" s="5">
        <v>5</v>
      </c>
      <c r="K25" s="4">
        <v>16</v>
      </c>
      <c r="L25">
        <v>2</v>
      </c>
      <c r="M25" s="5" t="s">
        <v>109</v>
      </c>
      <c r="N25" s="7" t="s">
        <v>63</v>
      </c>
      <c r="O25" s="4">
        <v>10</v>
      </c>
      <c r="P25">
        <v>10</v>
      </c>
      <c r="Q25" s="5">
        <v>10</v>
      </c>
      <c r="R25" s="4" t="s">
        <v>62</v>
      </c>
      <c r="S25">
        <v>9</v>
      </c>
      <c r="T25">
        <v>16</v>
      </c>
      <c r="U25">
        <v>11</v>
      </c>
      <c r="V25" s="5">
        <v>13</v>
      </c>
      <c r="W25" s="1">
        <v>0</v>
      </c>
      <c r="X25" s="1">
        <v>0</v>
      </c>
      <c r="Y25" s="1">
        <v>0</v>
      </c>
      <c r="Z25" s="4">
        <v>6</v>
      </c>
      <c r="AA25">
        <v>7</v>
      </c>
      <c r="AB25" s="5">
        <v>9</v>
      </c>
    </row>
    <row r="26" spans="1:28" ht="18">
      <c r="A26" s="5" t="s">
        <v>91</v>
      </c>
      <c r="B26">
        <v>1</v>
      </c>
      <c r="C26" s="4" t="s">
        <v>23</v>
      </c>
      <c r="D26" s="1"/>
      <c r="E26" s="4">
        <v>80</v>
      </c>
      <c r="F26" s="5">
        <v>80</v>
      </c>
      <c r="G26" s="4">
        <v>90</v>
      </c>
      <c r="H26" s="5">
        <v>10</v>
      </c>
      <c r="I26" s="4">
        <v>80</v>
      </c>
      <c r="J26" s="5">
        <v>20</v>
      </c>
      <c r="K26" s="4">
        <v>16</v>
      </c>
      <c r="L26">
        <v>0</v>
      </c>
      <c r="M26" s="5" t="s">
        <v>106</v>
      </c>
      <c r="N26" s="7" t="s">
        <v>63</v>
      </c>
      <c r="O26" s="4">
        <v>9</v>
      </c>
      <c r="P26">
        <v>9</v>
      </c>
      <c r="Q26" s="5">
        <v>9</v>
      </c>
      <c r="R26" s="4" t="s">
        <v>62</v>
      </c>
      <c r="S26">
        <v>8</v>
      </c>
      <c r="T26">
        <v>18</v>
      </c>
      <c r="U26">
        <v>16</v>
      </c>
      <c r="V26" s="5">
        <v>18</v>
      </c>
      <c r="W26" s="1">
        <v>0</v>
      </c>
      <c r="X26" s="1">
        <v>0</v>
      </c>
      <c r="Y26" s="1">
        <v>0</v>
      </c>
      <c r="Z26" s="4">
        <v>6</v>
      </c>
      <c r="AA26">
        <v>5</v>
      </c>
      <c r="AB26" s="5">
        <v>7</v>
      </c>
    </row>
    <row r="27" spans="1:28" ht="18">
      <c r="A27" s="5" t="s">
        <v>92</v>
      </c>
      <c r="B27">
        <v>1</v>
      </c>
      <c r="C27" s="4" t="s">
        <v>24</v>
      </c>
      <c r="D27" s="1" t="s">
        <v>116</v>
      </c>
      <c r="E27" s="4">
        <v>95</v>
      </c>
      <c r="F27" s="5">
        <v>5</v>
      </c>
      <c r="G27" s="4">
        <v>80</v>
      </c>
      <c r="H27" s="5">
        <v>20</v>
      </c>
      <c r="I27" s="4">
        <v>80</v>
      </c>
      <c r="J27" s="5">
        <v>20</v>
      </c>
      <c r="K27" s="4">
        <v>15</v>
      </c>
      <c r="L27">
        <v>3</v>
      </c>
      <c r="M27" s="5" t="s">
        <v>107</v>
      </c>
      <c r="N27" s="7" t="s">
        <v>63</v>
      </c>
      <c r="O27" s="4">
        <v>9</v>
      </c>
      <c r="P27">
        <v>8</v>
      </c>
      <c r="Q27" s="5">
        <v>9</v>
      </c>
      <c r="R27" s="4" t="s">
        <v>62</v>
      </c>
      <c r="S27">
        <v>4</v>
      </c>
      <c r="T27">
        <v>12</v>
      </c>
      <c r="U27">
        <v>10</v>
      </c>
      <c r="V27" s="5">
        <v>12</v>
      </c>
      <c r="W27" s="1">
        <v>0</v>
      </c>
      <c r="X27" s="1">
        <v>0</v>
      </c>
      <c r="Y27" s="1">
        <v>0</v>
      </c>
      <c r="Z27" s="4">
        <v>7</v>
      </c>
      <c r="AA27">
        <v>6</v>
      </c>
      <c r="AB27" s="5">
        <v>9</v>
      </c>
    </row>
    <row r="28" spans="1:28" ht="18">
      <c r="A28" s="5" t="s">
        <v>93</v>
      </c>
      <c r="B28">
        <v>1</v>
      </c>
      <c r="C28" s="4" t="s">
        <v>25</v>
      </c>
      <c r="D28" s="1"/>
      <c r="E28" s="4">
        <v>99</v>
      </c>
      <c r="F28" s="5">
        <v>1</v>
      </c>
      <c r="G28" s="4">
        <v>100</v>
      </c>
      <c r="H28" s="5">
        <v>0</v>
      </c>
      <c r="I28" s="4">
        <v>30</v>
      </c>
      <c r="J28" s="5">
        <v>70</v>
      </c>
      <c r="K28" s="4">
        <v>16</v>
      </c>
      <c r="L28">
        <v>0</v>
      </c>
      <c r="M28" s="5" t="s">
        <v>106</v>
      </c>
      <c r="N28" s="7" t="s">
        <v>63</v>
      </c>
      <c r="O28" s="4">
        <v>10</v>
      </c>
      <c r="P28">
        <v>10</v>
      </c>
      <c r="Q28" s="5">
        <v>10</v>
      </c>
      <c r="R28" s="4" t="s">
        <v>62</v>
      </c>
      <c r="S28">
        <v>5</v>
      </c>
      <c r="T28">
        <v>18</v>
      </c>
      <c r="U28">
        <v>6</v>
      </c>
      <c r="V28" s="5">
        <v>17</v>
      </c>
      <c r="W28" s="1">
        <v>0</v>
      </c>
      <c r="X28" s="1">
        <v>0</v>
      </c>
      <c r="Y28" s="1">
        <v>0</v>
      </c>
      <c r="Z28" s="4">
        <v>5</v>
      </c>
      <c r="AA28">
        <v>5</v>
      </c>
      <c r="AB28" s="5">
        <v>7</v>
      </c>
    </row>
    <row r="29" spans="1:28" ht="18">
      <c r="A29" s="5" t="s">
        <v>94</v>
      </c>
      <c r="B29">
        <v>1</v>
      </c>
      <c r="C29" s="4" t="s">
        <v>26</v>
      </c>
      <c r="D29" s="1" t="s">
        <v>117</v>
      </c>
      <c r="E29" s="4">
        <v>80</v>
      </c>
      <c r="F29" s="5">
        <v>20</v>
      </c>
      <c r="G29" s="4">
        <v>95</v>
      </c>
      <c r="H29" s="5">
        <v>5</v>
      </c>
      <c r="I29" s="4">
        <v>60</v>
      </c>
      <c r="J29" s="5">
        <v>40</v>
      </c>
      <c r="K29" s="4">
        <v>16</v>
      </c>
      <c r="L29">
        <v>4</v>
      </c>
      <c r="M29" s="5" t="s">
        <v>109</v>
      </c>
      <c r="N29" s="7" t="s">
        <v>63</v>
      </c>
      <c r="O29" s="4">
        <v>9</v>
      </c>
      <c r="P29">
        <v>9</v>
      </c>
      <c r="Q29" s="5">
        <v>8</v>
      </c>
      <c r="R29" s="4" t="s">
        <v>110</v>
      </c>
      <c r="S29">
        <v>5</v>
      </c>
      <c r="T29">
        <v>10</v>
      </c>
      <c r="U29">
        <v>5</v>
      </c>
      <c r="V29" s="5">
        <v>12</v>
      </c>
      <c r="W29" s="2">
        <f>1/12</f>
        <v>8.3333333333333329E-2</v>
      </c>
      <c r="X29" s="1">
        <v>0</v>
      </c>
      <c r="Y29" s="1">
        <v>7</v>
      </c>
      <c r="Z29" s="4">
        <v>5</v>
      </c>
      <c r="AA29">
        <v>7</v>
      </c>
      <c r="AB29" s="5">
        <v>5</v>
      </c>
    </row>
    <row r="30" spans="1:28" ht="18">
      <c r="A30" s="5" t="s">
        <v>95</v>
      </c>
      <c r="B30">
        <v>1</v>
      </c>
      <c r="C30" s="4" t="s">
        <v>27</v>
      </c>
      <c r="D30" s="1" t="s">
        <v>113</v>
      </c>
      <c r="E30" s="4">
        <v>95</v>
      </c>
      <c r="F30" s="5">
        <v>5</v>
      </c>
      <c r="G30" s="4">
        <v>100</v>
      </c>
      <c r="H30" s="5">
        <v>0</v>
      </c>
      <c r="I30" s="4">
        <v>100</v>
      </c>
      <c r="J30" s="5">
        <v>0</v>
      </c>
      <c r="K30" s="4">
        <v>16</v>
      </c>
      <c r="L30">
        <v>0</v>
      </c>
      <c r="M30" s="5" t="s">
        <v>106</v>
      </c>
      <c r="N30" s="7" t="s">
        <v>63</v>
      </c>
      <c r="O30" s="4">
        <v>9</v>
      </c>
      <c r="P30">
        <v>9</v>
      </c>
      <c r="Q30" s="5">
        <v>8</v>
      </c>
      <c r="R30" s="4" t="s">
        <v>62</v>
      </c>
      <c r="S30">
        <v>5</v>
      </c>
      <c r="T30">
        <v>13</v>
      </c>
      <c r="U30">
        <v>11</v>
      </c>
      <c r="V30" s="5">
        <v>13</v>
      </c>
      <c r="W30" s="1">
        <v>0</v>
      </c>
      <c r="X30" s="1">
        <v>0</v>
      </c>
      <c r="Y30" s="1">
        <v>0</v>
      </c>
      <c r="Z30" s="4">
        <v>5</v>
      </c>
      <c r="AA30">
        <v>6</v>
      </c>
      <c r="AB30" s="5">
        <v>6</v>
      </c>
    </row>
    <row r="31" spans="1:28" ht="18">
      <c r="A31" s="5" t="s">
        <v>96</v>
      </c>
      <c r="B31">
        <v>1</v>
      </c>
      <c r="C31" s="4" t="s">
        <v>28</v>
      </c>
      <c r="D31" s="1" t="s">
        <v>116</v>
      </c>
      <c r="E31" s="4">
        <v>98</v>
      </c>
      <c r="F31" s="5">
        <v>2</v>
      </c>
      <c r="G31" s="4">
        <v>70</v>
      </c>
      <c r="H31" s="5">
        <v>30</v>
      </c>
      <c r="I31" s="4">
        <v>85</v>
      </c>
      <c r="J31" s="5">
        <v>15</v>
      </c>
      <c r="K31" s="4">
        <v>12</v>
      </c>
      <c r="L31">
        <v>0</v>
      </c>
      <c r="M31" s="5" t="s">
        <v>64</v>
      </c>
      <c r="N31" s="7" t="s">
        <v>63</v>
      </c>
      <c r="O31" s="4">
        <v>9</v>
      </c>
      <c r="P31">
        <v>8</v>
      </c>
      <c r="Q31" s="5">
        <v>8</v>
      </c>
      <c r="R31" s="4" t="s">
        <v>62</v>
      </c>
      <c r="S31">
        <v>10</v>
      </c>
      <c r="T31">
        <v>25</v>
      </c>
      <c r="U31">
        <v>14</v>
      </c>
      <c r="V31" s="5">
        <v>25</v>
      </c>
      <c r="W31" s="1">
        <v>0</v>
      </c>
      <c r="X31" s="1">
        <v>0</v>
      </c>
      <c r="Y31" s="1">
        <v>0</v>
      </c>
      <c r="Z31" s="4">
        <v>5</v>
      </c>
      <c r="AA31">
        <v>6.5</v>
      </c>
      <c r="AB31" s="5">
        <v>7</v>
      </c>
    </row>
    <row r="32" spans="1:28" ht="18">
      <c r="A32" s="5" t="s">
        <v>97</v>
      </c>
      <c r="B32">
        <v>1</v>
      </c>
      <c r="C32" s="4" t="s">
        <v>29</v>
      </c>
      <c r="D32" s="1" t="s">
        <v>113</v>
      </c>
      <c r="E32" s="4">
        <v>90</v>
      </c>
      <c r="F32" s="5">
        <v>10</v>
      </c>
      <c r="G32" s="4">
        <v>90</v>
      </c>
      <c r="H32" s="5">
        <v>10</v>
      </c>
      <c r="I32" s="4">
        <v>70</v>
      </c>
      <c r="J32" s="5">
        <v>30</v>
      </c>
      <c r="K32" s="4">
        <v>18</v>
      </c>
      <c r="L32">
        <v>0</v>
      </c>
      <c r="M32" s="5" t="s">
        <v>108</v>
      </c>
      <c r="N32" s="7" t="s">
        <v>63</v>
      </c>
      <c r="O32" s="4">
        <v>10</v>
      </c>
      <c r="P32">
        <v>10</v>
      </c>
      <c r="Q32" s="5">
        <v>10</v>
      </c>
      <c r="R32" s="4" t="s">
        <v>62</v>
      </c>
      <c r="S32">
        <v>7</v>
      </c>
      <c r="T32">
        <v>24</v>
      </c>
      <c r="U32">
        <v>10</v>
      </c>
      <c r="V32" s="5">
        <v>19</v>
      </c>
      <c r="W32" s="1">
        <v>0</v>
      </c>
      <c r="X32" s="1">
        <v>0</v>
      </c>
      <c r="Y32" s="1">
        <v>0</v>
      </c>
      <c r="Z32" s="4">
        <v>5</v>
      </c>
      <c r="AA32">
        <v>6</v>
      </c>
      <c r="AB32" s="5">
        <v>7</v>
      </c>
    </row>
    <row r="33" spans="1:28" ht="18">
      <c r="A33" s="5" t="s">
        <v>98</v>
      </c>
      <c r="B33">
        <v>1</v>
      </c>
      <c r="C33" s="4" t="s">
        <v>30</v>
      </c>
      <c r="D33" s="1" t="s">
        <v>113</v>
      </c>
      <c r="E33" s="4">
        <v>100</v>
      </c>
      <c r="F33" s="5">
        <v>0</v>
      </c>
      <c r="G33" s="4">
        <v>90</v>
      </c>
      <c r="H33" s="5">
        <v>10</v>
      </c>
      <c r="I33" s="4">
        <v>100</v>
      </c>
      <c r="J33" s="5">
        <v>0</v>
      </c>
      <c r="K33" s="4">
        <v>21</v>
      </c>
      <c r="L33">
        <v>0</v>
      </c>
      <c r="M33" s="5" t="s">
        <v>108</v>
      </c>
      <c r="N33" s="7" t="s">
        <v>63</v>
      </c>
      <c r="O33" s="4">
        <v>9</v>
      </c>
      <c r="P33">
        <v>9</v>
      </c>
      <c r="Q33" s="5">
        <v>9</v>
      </c>
      <c r="R33" s="4" t="s">
        <v>62</v>
      </c>
      <c r="S33">
        <v>9</v>
      </c>
      <c r="T33">
        <v>0</v>
      </c>
      <c r="U33">
        <v>9</v>
      </c>
      <c r="V33" s="5">
        <v>0</v>
      </c>
      <c r="W33" s="1">
        <v>0</v>
      </c>
      <c r="X33" s="1">
        <v>0</v>
      </c>
      <c r="Y33" s="1">
        <v>0</v>
      </c>
      <c r="Z33" s="4">
        <v>2</v>
      </c>
      <c r="AA33">
        <v>2</v>
      </c>
      <c r="AB33" s="5">
        <v>5</v>
      </c>
    </row>
    <row r="34" spans="1:28" ht="18">
      <c r="A34" s="5" t="s">
        <v>99</v>
      </c>
      <c r="B34">
        <v>1</v>
      </c>
      <c r="C34" s="4" t="s">
        <v>31</v>
      </c>
      <c r="D34" s="1" t="s">
        <v>118</v>
      </c>
      <c r="E34" s="4">
        <v>80</v>
      </c>
      <c r="F34" s="5">
        <v>20</v>
      </c>
      <c r="G34" s="4">
        <v>60</v>
      </c>
      <c r="H34" s="5">
        <v>40</v>
      </c>
      <c r="I34" s="4">
        <v>30</v>
      </c>
      <c r="J34" s="5">
        <v>70</v>
      </c>
      <c r="K34" s="4">
        <v>15</v>
      </c>
      <c r="L34">
        <v>0</v>
      </c>
      <c r="M34" s="5" t="s">
        <v>106</v>
      </c>
      <c r="N34" s="7" t="s">
        <v>63</v>
      </c>
      <c r="O34" s="4">
        <v>10</v>
      </c>
      <c r="P34">
        <v>10</v>
      </c>
      <c r="Q34" s="5">
        <v>10</v>
      </c>
      <c r="R34" s="4" t="s">
        <v>62</v>
      </c>
      <c r="S34">
        <v>7</v>
      </c>
      <c r="T34">
        <v>20</v>
      </c>
      <c r="U34">
        <v>7</v>
      </c>
      <c r="V34" s="5">
        <v>24</v>
      </c>
      <c r="W34" s="1">
        <v>0</v>
      </c>
      <c r="X34" s="1">
        <v>0</v>
      </c>
      <c r="Y34" s="1">
        <v>0</v>
      </c>
      <c r="Z34" s="4">
        <v>7</v>
      </c>
      <c r="AA34">
        <v>8</v>
      </c>
      <c r="AB34" s="5">
        <v>7</v>
      </c>
    </row>
    <row r="35" spans="1:28" ht="18">
      <c r="A35" s="5" t="s">
        <v>100</v>
      </c>
      <c r="B35">
        <v>1</v>
      </c>
      <c r="C35" s="4" t="s">
        <v>32</v>
      </c>
      <c r="D35" s="1"/>
      <c r="E35" s="4">
        <v>70</v>
      </c>
      <c r="F35" s="5">
        <v>30</v>
      </c>
      <c r="G35" s="4">
        <v>50</v>
      </c>
      <c r="H35" s="5">
        <v>50</v>
      </c>
      <c r="I35" s="4">
        <v>40</v>
      </c>
      <c r="J35" s="5">
        <v>60</v>
      </c>
      <c r="K35" s="4">
        <v>19</v>
      </c>
      <c r="L35">
        <v>0</v>
      </c>
      <c r="M35" s="5" t="s">
        <v>108</v>
      </c>
      <c r="N35" s="7" t="s">
        <v>63</v>
      </c>
      <c r="O35" s="4">
        <v>10</v>
      </c>
      <c r="P35">
        <v>10</v>
      </c>
      <c r="Q35" s="5">
        <v>9</v>
      </c>
      <c r="R35" s="4" t="s">
        <v>62</v>
      </c>
      <c r="S35">
        <v>10</v>
      </c>
      <c r="T35">
        <v>17</v>
      </c>
      <c r="U35">
        <v>13</v>
      </c>
      <c r="V35" s="5">
        <v>17</v>
      </c>
      <c r="W35" s="1">
        <v>0</v>
      </c>
      <c r="X35" s="1">
        <v>0</v>
      </c>
      <c r="Y35" s="1">
        <v>0</v>
      </c>
      <c r="Z35" s="4">
        <v>6</v>
      </c>
      <c r="AA35">
        <v>5</v>
      </c>
      <c r="AB35" s="5">
        <v>8</v>
      </c>
    </row>
    <row r="36" spans="1:28" ht="18">
      <c r="A36" s="5" t="s">
        <v>101</v>
      </c>
      <c r="B36">
        <v>1</v>
      </c>
      <c r="C36" s="4" t="s">
        <v>33</v>
      </c>
      <c r="D36" s="1" t="s">
        <v>115</v>
      </c>
      <c r="E36" s="4">
        <v>80</v>
      </c>
      <c r="F36" s="5">
        <v>20</v>
      </c>
      <c r="G36" s="4">
        <v>80</v>
      </c>
      <c r="H36" s="5">
        <v>20</v>
      </c>
      <c r="I36" s="4">
        <v>60</v>
      </c>
      <c r="J36" s="5">
        <v>40</v>
      </c>
      <c r="K36" s="4">
        <v>16</v>
      </c>
      <c r="L36">
        <v>0</v>
      </c>
      <c r="M36" s="5" t="s">
        <v>106</v>
      </c>
      <c r="N36" s="7" t="s">
        <v>63</v>
      </c>
      <c r="O36" s="4">
        <v>10</v>
      </c>
      <c r="P36">
        <v>10</v>
      </c>
      <c r="Q36" s="5">
        <v>10</v>
      </c>
      <c r="R36" s="4" t="s">
        <v>65</v>
      </c>
      <c r="S36">
        <v>10</v>
      </c>
      <c r="T36">
        <v>22</v>
      </c>
      <c r="U36">
        <v>13</v>
      </c>
      <c r="V36" s="5">
        <v>22</v>
      </c>
      <c r="W36" s="1">
        <v>0</v>
      </c>
      <c r="X36" s="1">
        <v>0</v>
      </c>
      <c r="Y36" s="1">
        <v>0</v>
      </c>
      <c r="Z36" s="4">
        <v>6</v>
      </c>
      <c r="AA36">
        <v>8</v>
      </c>
      <c r="AB36" s="5">
        <v>8</v>
      </c>
    </row>
    <row r="37" spans="1:28" ht="18">
      <c r="A37" s="5" t="s">
        <v>102</v>
      </c>
      <c r="B37">
        <v>1</v>
      </c>
      <c r="C37" s="4" t="s">
        <v>34</v>
      </c>
      <c r="D37" s="1"/>
      <c r="E37" s="4">
        <v>97</v>
      </c>
      <c r="F37" s="5">
        <v>3</v>
      </c>
      <c r="G37" s="4">
        <v>97</v>
      </c>
      <c r="H37" s="5">
        <v>30</v>
      </c>
      <c r="I37" s="4">
        <v>100</v>
      </c>
      <c r="J37" s="5">
        <v>0</v>
      </c>
      <c r="K37" s="4">
        <v>23</v>
      </c>
      <c r="L37">
        <v>0</v>
      </c>
      <c r="M37" s="5" t="s">
        <v>106</v>
      </c>
      <c r="N37" s="7" t="s">
        <v>63</v>
      </c>
      <c r="O37" s="4">
        <v>9</v>
      </c>
      <c r="P37">
        <v>9</v>
      </c>
      <c r="Q37" s="5">
        <v>9</v>
      </c>
      <c r="R37" s="4" t="s">
        <v>62</v>
      </c>
      <c r="S37">
        <v>13</v>
      </c>
      <c r="T37">
        <v>20</v>
      </c>
      <c r="U37">
        <v>13</v>
      </c>
      <c r="V37" s="5">
        <v>20</v>
      </c>
      <c r="W37" s="1">
        <v>0</v>
      </c>
      <c r="X37" s="1">
        <v>0</v>
      </c>
      <c r="Y37" s="1">
        <v>0</v>
      </c>
      <c r="Z37" s="4">
        <v>5</v>
      </c>
      <c r="AA37">
        <v>6</v>
      </c>
      <c r="AB37" s="5">
        <v>5</v>
      </c>
    </row>
    <row r="38" spans="1:28" ht="18">
      <c r="A38" s="5" t="s">
        <v>103</v>
      </c>
      <c r="B38">
        <v>1</v>
      </c>
      <c r="C38" s="4" t="s">
        <v>35</v>
      </c>
      <c r="D38" s="1" t="s">
        <v>113</v>
      </c>
      <c r="E38" s="4">
        <v>95</v>
      </c>
      <c r="F38" s="5">
        <v>5</v>
      </c>
      <c r="G38" s="4">
        <v>80</v>
      </c>
      <c r="H38" s="5">
        <v>20</v>
      </c>
      <c r="I38" s="4">
        <v>70</v>
      </c>
      <c r="J38" s="5">
        <v>30</v>
      </c>
      <c r="K38" s="4">
        <v>19</v>
      </c>
      <c r="L38">
        <v>4</v>
      </c>
      <c r="M38" s="5" t="s">
        <v>106</v>
      </c>
      <c r="N38" s="7" t="s">
        <v>63</v>
      </c>
      <c r="O38" s="4">
        <v>10</v>
      </c>
      <c r="P38">
        <v>10</v>
      </c>
      <c r="Q38" s="5">
        <v>10</v>
      </c>
      <c r="R38" s="4" t="s">
        <v>62</v>
      </c>
      <c r="S38">
        <v>5</v>
      </c>
      <c r="T38">
        <v>15</v>
      </c>
      <c r="U38">
        <v>7</v>
      </c>
      <c r="V38" s="5">
        <v>12</v>
      </c>
      <c r="W38" s="2">
        <f>2/12</f>
        <v>0.16666666666666666</v>
      </c>
      <c r="X38" s="1">
        <v>0</v>
      </c>
      <c r="Y38" s="2">
        <f>2/12</f>
        <v>0.16666666666666666</v>
      </c>
      <c r="Z38" s="4">
        <v>8</v>
      </c>
      <c r="AA38">
        <v>9</v>
      </c>
      <c r="AB38" s="5">
        <v>10</v>
      </c>
    </row>
    <row r="39" spans="1:28" ht="18">
      <c r="A39" s="5" t="s">
        <v>104</v>
      </c>
      <c r="B39">
        <v>1</v>
      </c>
      <c r="C39" s="4" t="s">
        <v>36</v>
      </c>
      <c r="D39" s="1" t="s">
        <v>115</v>
      </c>
      <c r="E39" s="4">
        <v>90</v>
      </c>
      <c r="F39" s="5">
        <v>10</v>
      </c>
      <c r="G39" s="4">
        <v>60</v>
      </c>
      <c r="H39" s="5">
        <v>40</v>
      </c>
      <c r="I39" s="4">
        <v>68</v>
      </c>
      <c r="J39" s="5">
        <v>32</v>
      </c>
      <c r="K39" s="4">
        <v>16</v>
      </c>
      <c r="L39">
        <v>4</v>
      </c>
      <c r="M39" s="5" t="s">
        <v>106</v>
      </c>
      <c r="N39" s="7" t="s">
        <v>63</v>
      </c>
      <c r="O39" s="4">
        <v>8</v>
      </c>
      <c r="P39">
        <v>9</v>
      </c>
      <c r="Q39" s="5">
        <v>8</v>
      </c>
      <c r="R39" s="4" t="s">
        <v>62</v>
      </c>
      <c r="S39">
        <v>5</v>
      </c>
      <c r="T39">
        <v>15</v>
      </c>
      <c r="U39">
        <v>7</v>
      </c>
      <c r="V39" s="5">
        <v>8</v>
      </c>
      <c r="W39" s="14">
        <v>0</v>
      </c>
      <c r="X39" s="1">
        <v>0</v>
      </c>
      <c r="Y39" s="18">
        <f>1+8/12</f>
        <v>1.6666666666666665</v>
      </c>
      <c r="Z39" s="4">
        <v>5</v>
      </c>
      <c r="AA39">
        <v>6</v>
      </c>
      <c r="AB39" s="5">
        <v>7</v>
      </c>
    </row>
    <row r="40" spans="1:28" s="3" customFormat="1" ht="18">
      <c r="A40" s="9" t="s">
        <v>105</v>
      </c>
      <c r="B40">
        <v>1</v>
      </c>
      <c r="C40" s="8" t="s">
        <v>37</v>
      </c>
      <c r="D40" s="17" t="s">
        <v>116</v>
      </c>
      <c r="E40" s="8">
        <v>99</v>
      </c>
      <c r="F40" s="9">
        <v>1</v>
      </c>
      <c r="G40" s="8">
        <v>25</v>
      </c>
      <c r="H40" s="9">
        <v>75</v>
      </c>
      <c r="I40" s="8">
        <v>80</v>
      </c>
      <c r="J40" s="9">
        <v>20</v>
      </c>
      <c r="K40" s="8">
        <v>19</v>
      </c>
      <c r="L40" s="3">
        <v>3</v>
      </c>
      <c r="M40" s="9" t="s">
        <v>109</v>
      </c>
      <c r="N40" s="6" t="s">
        <v>63</v>
      </c>
      <c r="O40" s="8">
        <v>9</v>
      </c>
      <c r="P40" s="3">
        <v>8</v>
      </c>
      <c r="Q40" s="9">
        <v>9</v>
      </c>
      <c r="R40" s="8" t="s">
        <v>62</v>
      </c>
      <c r="S40" s="3">
        <v>9</v>
      </c>
      <c r="T40" s="3">
        <v>15</v>
      </c>
      <c r="U40" s="3">
        <v>12</v>
      </c>
      <c r="V40" s="9">
        <v>15</v>
      </c>
      <c r="W40" s="15">
        <v>0</v>
      </c>
      <c r="X40" s="16">
        <v>0</v>
      </c>
      <c r="Y40" s="17">
        <v>0</v>
      </c>
      <c r="Z40" s="8">
        <v>5</v>
      </c>
      <c r="AA40" s="3">
        <v>4</v>
      </c>
      <c r="AB40" s="9">
        <v>6</v>
      </c>
    </row>
  </sheetData>
  <autoFilter ref="A2:AB40" xr:uid="{BAFC80B8-2BFE-407A-988C-7C133AA6C059}"/>
  <mergeCells count="8">
    <mergeCell ref="R1:V1"/>
    <mergeCell ref="W1:Y1"/>
    <mergeCell ref="Z1:AB1"/>
    <mergeCell ref="E1:F1"/>
    <mergeCell ref="G1:H1"/>
    <mergeCell ref="I1:J1"/>
    <mergeCell ref="K1:M1"/>
    <mergeCell ref="O1:Q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Yaqian Bao</cp:lastModifiedBy>
  <dcterms:created xsi:type="dcterms:W3CDTF">2023-08-02T01:36:28Z</dcterms:created>
  <dcterms:modified xsi:type="dcterms:W3CDTF">2025-02-10T20:14:49Z</dcterms:modified>
</cp:coreProperties>
</file>